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166925"/>
  <mc:AlternateContent xmlns:mc="http://schemas.openxmlformats.org/markup-compatibility/2006">
    <mc:Choice Requires="x15">
      <x15ac:absPath xmlns:x15ac="http://schemas.microsoft.com/office/spreadsheetml/2010/11/ac" url="C:\Users\USER\Desktop\"/>
    </mc:Choice>
  </mc:AlternateContent>
  <xr:revisionPtr revIDLastSave="0" documentId="8_{46459055-5C1B-4C00-A2AE-3C5201EF1CC9}" xr6:coauthVersionLast="47" xr6:coauthVersionMax="47" xr10:uidLastSave="{00000000-0000-0000-0000-000000000000}"/>
  <bookViews>
    <workbookView xWindow="-110" yWindow="-110" windowWidth="25820" windowHeight="15500" activeTab="2" xr2:uid="{804AD460-A5D9-49F5-B463-12B720717CBA}"/>
  </bookViews>
  <sheets>
    <sheet name="SALES PERFORMANCE TABLE" sheetId="6" r:id="rId1"/>
    <sheet name="DATA" sheetId="1" r:id="rId2"/>
    <sheet name="DASHBOARD" sheetId="3" r:id="rId3"/>
  </sheets>
  <definedNames>
    <definedName name="NativeTimeline_Order_Date">#N/A</definedName>
    <definedName name="Slicer_Department">#N/A</definedName>
    <definedName name="Slicer_Name">#N/A</definedName>
    <definedName name="Slicer_Payment_Type">#N/A</definedName>
    <definedName name="Slicer_Regi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25" i="6" l="1"/>
  <c r="J21" i="6"/>
  <c r="J17" i="6"/>
  <c r="J13" i="6"/>
  <c r="K5" i="1"/>
  <c r="K23" i="1"/>
  <c r="K25" i="1"/>
  <c r="K3" i="1"/>
  <c r="K31" i="1"/>
  <c r="K27" i="1"/>
  <c r="K10" i="1"/>
  <c r="K16" i="1"/>
  <c r="K29" i="1"/>
  <c r="K15" i="1"/>
  <c r="K7" i="1"/>
  <c r="K30" i="1"/>
  <c r="K14" i="1"/>
  <c r="K34" i="1"/>
  <c r="K4" i="1"/>
  <c r="K24" i="1"/>
  <c r="K22" i="1"/>
  <c r="K21" i="1"/>
  <c r="K19" i="1"/>
  <c r="K13" i="1"/>
  <c r="K2" i="1"/>
  <c r="K11" i="1"/>
  <c r="K35" i="1"/>
  <c r="K9" i="1"/>
  <c r="K36" i="1"/>
  <c r="K17" i="1"/>
  <c r="K32" i="1"/>
  <c r="K26" i="1"/>
  <c r="K33" i="1"/>
  <c r="K20" i="1"/>
  <c r="K18" i="1"/>
  <c r="K6" i="1"/>
  <c r="K28" i="1"/>
  <c r="K8" i="1"/>
  <c r="K12" i="1"/>
  <c r="J12" i="1"/>
  <c r="J5" i="1"/>
  <c r="J23" i="1"/>
  <c r="J25" i="1"/>
  <c r="J3" i="1"/>
  <c r="J31" i="1"/>
  <c r="J27" i="1"/>
  <c r="J10" i="1"/>
  <c r="J16" i="1"/>
  <c r="J29" i="1"/>
  <c r="J15" i="1"/>
  <c r="J7" i="1"/>
  <c r="J30" i="1"/>
  <c r="J14" i="1"/>
  <c r="J34" i="1"/>
  <c r="J4" i="1"/>
  <c r="J24" i="1"/>
  <c r="J22" i="1"/>
  <c r="J21" i="1"/>
  <c r="J19" i="1"/>
  <c r="J13" i="1"/>
  <c r="J2" i="1"/>
  <c r="J11" i="1"/>
  <c r="J35" i="1"/>
  <c r="J9" i="1"/>
  <c r="J36" i="1"/>
  <c r="J17" i="1"/>
  <c r="J32" i="1"/>
  <c r="J26" i="1"/>
  <c r="J33" i="1"/>
  <c r="J20" i="1"/>
  <c r="J18" i="1"/>
  <c r="J6" i="1"/>
  <c r="J28" i="1"/>
  <c r="J8" i="1"/>
</calcChain>
</file>

<file path=xl/sharedStrings.xml><?xml version="1.0" encoding="utf-8"?>
<sst xmlns="http://schemas.openxmlformats.org/spreadsheetml/2006/main" count="226" uniqueCount="73">
  <si>
    <t>Order ID</t>
  </si>
  <si>
    <t>Order Date</t>
  </si>
  <si>
    <t>Arrival Date</t>
  </si>
  <si>
    <t>Name</t>
  </si>
  <si>
    <t>Department</t>
  </si>
  <si>
    <t>Region</t>
  </si>
  <si>
    <t>Payment Type</t>
  </si>
  <si>
    <t>Revenue</t>
  </si>
  <si>
    <t>Profit</t>
  </si>
  <si>
    <t>Bill Smith</t>
  </si>
  <si>
    <t>Cloud Tech</t>
  </si>
  <si>
    <t>Texas</t>
  </si>
  <si>
    <t>Credit Card</t>
  </si>
  <si>
    <t>Ken Singh</t>
  </si>
  <si>
    <t>Strategy</t>
  </si>
  <si>
    <t>New York</t>
  </si>
  <si>
    <t>Harley Fritz</t>
  </si>
  <si>
    <t>Nyla Novak</t>
  </si>
  <si>
    <t>Operations</t>
  </si>
  <si>
    <t>Florida</t>
  </si>
  <si>
    <t>David Rasmussen</t>
  </si>
  <si>
    <t>Transfer</t>
  </si>
  <si>
    <t>Ivan Hiney</t>
  </si>
  <si>
    <t>Jonha Ma</t>
  </si>
  <si>
    <t>Jordan Boone</t>
  </si>
  <si>
    <t>Kylee Townsend</t>
  </si>
  <si>
    <t>Nora Rollins</t>
  </si>
  <si>
    <t>Brendan Wallace</t>
  </si>
  <si>
    <t>Conor Wise</t>
  </si>
  <si>
    <t>Steven Michael</t>
  </si>
  <si>
    <t>Big Data</t>
  </si>
  <si>
    <t>California</t>
  </si>
  <si>
    <t>Lucia Mckay</t>
  </si>
  <si>
    <t>Jose Roach</t>
  </si>
  <si>
    <t>Franklin Wrigt</t>
  </si>
  <si>
    <t>Alia Thornton</t>
  </si>
  <si>
    <t>Denzel Flores</t>
  </si>
  <si>
    <t>Bruno Cordova</t>
  </si>
  <si>
    <t>Jaylynn Napp</t>
  </si>
  <si>
    <t>Bruce Rich</t>
  </si>
  <si>
    <t>Arturo Moore</t>
  </si>
  <si>
    <t>Bryce Carpenter</t>
  </si>
  <si>
    <t>Jaidyn Andersen</t>
  </si>
  <si>
    <t>Mark Walm</t>
  </si>
  <si>
    <t>Harry Lee</t>
  </si>
  <si>
    <t>Josh Johnson</t>
  </si>
  <si>
    <t>Mik Naam</t>
  </si>
  <si>
    <t>Grand Total</t>
  </si>
  <si>
    <t>Profpt margin</t>
  </si>
  <si>
    <t>Delivery days</t>
  </si>
  <si>
    <t>Average of Profpt margin</t>
  </si>
  <si>
    <t>Profit margin</t>
  </si>
  <si>
    <t xml:space="preserve"> Profit</t>
  </si>
  <si>
    <t>REGIONAL PERFORMANCE</t>
  </si>
  <si>
    <t>Order date</t>
  </si>
  <si>
    <t>TO</t>
  </si>
  <si>
    <t>DELIVERY PERFORMANCE</t>
  </si>
  <si>
    <t>Client</t>
  </si>
  <si>
    <t>OVERALL SALES PERFORMANCE</t>
  </si>
  <si>
    <t>DEPARTMENTAL PERFORMANCE</t>
  </si>
  <si>
    <t>Payment method</t>
  </si>
  <si>
    <t>PREFERED PAMENT METHOD</t>
  </si>
  <si>
    <t>DEPARTMENT PROFIT MARGIN</t>
  </si>
  <si>
    <t>REVENUE BY CLIENT</t>
  </si>
  <si>
    <t>TOTAL REVENUE</t>
  </si>
  <si>
    <t>TOTAL PROFIT</t>
  </si>
  <si>
    <t>TOTAL ORDER</t>
  </si>
  <si>
    <t>PROFIT MARGIN</t>
  </si>
  <si>
    <t>KPI 'S</t>
  </si>
  <si>
    <t>order &amp;p type</t>
  </si>
  <si>
    <t>days before delivery</t>
  </si>
  <si>
    <t xml:space="preserve">   </t>
  </si>
  <si>
    <t>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</si>
</sst>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
    <numFmt numFmtId="165" formatCode="[$₦-466]\ #,##0"/>
  </numFmts>
  <fonts count="3" x14ac:knownFonts="1">
    <font>
      <sz val="11"/>
      <color theme="1"/>
      <name val="Calibri"/>
      <family val="2"/>
      <scheme val="minor"/>
    </font>
    <font>
      <sz val="11"/>
      <color theme="1"/>
      <name val="Calibri"/>
      <family val="2"/>
      <scheme val="minor"/>
    </font>
    <font>
      <b/>
      <sz val="11"/>
      <color theme="0"/>
      <name val="Calibri"/>
      <family val="2"/>
      <scheme val="minor"/>
    </font>
  </fonts>
  <fills count="3">
    <fill>
      <patternFill patternType="none"/>
    </fill>
    <fill>
      <patternFill patternType="gray125"/>
    </fill>
    <fill>
      <patternFill patternType="solid">
        <fgColor rgb="FF002060"/>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21">
    <xf numFmtId="0" fontId="0" fillId="0" borderId="0" xfId="0"/>
    <xf numFmtId="0" fontId="2" fillId="2" borderId="0" xfId="0" applyFont="1" applyFill="1" applyAlignment="1">
      <alignment horizontal="center"/>
    </xf>
    <xf numFmtId="1" fontId="1" fillId="0" borderId="0" xfId="0" applyNumberFormat="1" applyFont="1" applyAlignment="1">
      <alignment horizontal="center"/>
    </xf>
    <xf numFmtId="164" fontId="1" fillId="0" borderId="0" xfId="0" applyNumberFormat="1" applyFont="1" applyAlignment="1">
      <alignment horizontal="center"/>
    </xf>
    <xf numFmtId="0" fontId="1" fillId="0" borderId="0" xfId="0" applyFont="1"/>
    <xf numFmtId="0" fontId="0" fillId="0" borderId="0" xfId="0" pivotButton="1"/>
    <xf numFmtId="0" fontId="0" fillId="0" borderId="0" xfId="0" applyAlignment="1">
      <alignment horizontal="left"/>
    </xf>
    <xf numFmtId="165" fontId="0" fillId="0" borderId="0" xfId="0" applyNumberFormat="1"/>
    <xf numFmtId="165" fontId="2" fillId="2" borderId="0" xfId="0" applyNumberFormat="1" applyFont="1" applyFill="1" applyAlignment="1">
      <alignment horizontal="center"/>
    </xf>
    <xf numFmtId="165" fontId="1" fillId="0" borderId="0" xfId="0" applyNumberFormat="1" applyFont="1" applyAlignment="1">
      <alignment horizontal="center"/>
    </xf>
    <xf numFmtId="9" fontId="0" fillId="0" borderId="0" xfId="1" applyFont="1"/>
    <xf numFmtId="164" fontId="0" fillId="0" borderId="0" xfId="0" applyNumberFormat="1" applyAlignment="1">
      <alignment horizontal="left"/>
    </xf>
    <xf numFmtId="0" fontId="0" fillId="0" borderId="0" xfId="0" applyAlignment="1">
      <alignment horizontal="left" indent="1"/>
    </xf>
    <xf numFmtId="9" fontId="0" fillId="0" borderId="0" xfId="0" applyNumberFormat="1"/>
    <xf numFmtId="9" fontId="2" fillId="2" borderId="0" xfId="0" applyNumberFormat="1" applyFont="1" applyFill="1" applyAlignment="1">
      <alignment horizontal="center"/>
    </xf>
    <xf numFmtId="164" fontId="0" fillId="0" borderId="0" xfId="0" applyNumberFormat="1" applyAlignment="1">
      <alignment horizontal="left" indent="1"/>
    </xf>
    <xf numFmtId="0" fontId="0" fillId="0" borderId="0" xfId="0" applyAlignment="1">
      <alignment horizontal="center"/>
    </xf>
    <xf numFmtId="0" fontId="0" fillId="0" borderId="0" xfId="0" applyAlignment="1">
      <alignment horizontal="left" indent="2"/>
    </xf>
    <xf numFmtId="165" fontId="0" fillId="0" borderId="0" xfId="1" applyNumberFormat="1" applyFont="1"/>
    <xf numFmtId="0" fontId="0" fillId="0" borderId="0" xfId="0" applyAlignment="1">
      <alignment horizontal="center"/>
    </xf>
    <xf numFmtId="0" fontId="0" fillId="0" borderId="0" xfId="0" applyNumberFormat="1"/>
  </cellXfs>
  <cellStyles count="2">
    <cellStyle name="Normal" xfId="0" builtinId="0"/>
    <cellStyle name="Percent" xfId="1" builtinId="5"/>
  </cellStyles>
  <dxfs count="23">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numFmt numFmtId="13" formatCode="0%"/>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466]\ #,##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466]\ #,##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numFmt numFmtId="0" formatCode="General"/>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4" formatCode="dd/mm/yy"/>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4" formatCode="dd/mm/yy"/>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 formatCode="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indexed="64"/>
          <bgColor rgb="FF002060"/>
        </patternFill>
      </fill>
      <alignment horizontal="center" vertical="bottom" textRotation="0" wrapText="0" indent="0" justifyLastLine="0" shrinkToFit="0" readingOrder="0"/>
    </dxf>
  </dxfs>
  <tableStyles count="0" defaultTableStyle="TableStyleMedium2" defaultPivotStyle="PivotStyleLight16"/>
  <colors>
    <mruColors>
      <color rgb="FF002465"/>
      <color rgb="FF00204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PRACTICAL a.xlsx]SALES PERFORMANCE TABLE!PivotTable2</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OVERALL</a:t>
            </a:r>
            <a:r>
              <a:rPr lang="en-GB" baseline="0"/>
              <a:t> SALES PERFORMANCE</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PERFORMANCE TABLE'!$F$11</c:f>
              <c:strCache>
                <c:ptCount val="1"/>
                <c:pt idx="0">
                  <c:v>days before delivery</c:v>
                </c:pt>
              </c:strCache>
            </c:strRef>
          </c:tx>
          <c:spPr>
            <a:solidFill>
              <a:schemeClr val="accent1"/>
            </a:solidFill>
            <a:ln>
              <a:noFill/>
            </a:ln>
            <a:effectLst/>
          </c:spPr>
          <c:invertIfNegative val="0"/>
          <c:cat>
            <c:multiLvlStrRef>
              <c:f>'SALES PERFORMANCE TABLE'!$E$12:$E$26</c:f>
              <c:multiLvlStrCache>
                <c:ptCount val="7"/>
                <c:lvl>
                  <c:pt idx="0">
                    <c:v>Transfer</c:v>
                  </c:pt>
                  <c:pt idx="1">
                    <c:v>Credit Card</c:v>
                  </c:pt>
                  <c:pt idx="2">
                    <c:v>Transfer</c:v>
                  </c:pt>
                  <c:pt idx="3">
                    <c:v>Transfer</c:v>
                  </c:pt>
                  <c:pt idx="4">
                    <c:v>Credit Card</c:v>
                  </c:pt>
                  <c:pt idx="5">
                    <c:v>Transfer</c:v>
                  </c:pt>
                  <c:pt idx="6">
                    <c:v>Transfer</c:v>
                  </c:pt>
                </c:lvl>
                <c:lvl>
                  <c:pt idx="0">
                    <c:v>03/02/24</c:v>
                  </c:pt>
                  <c:pt idx="1">
                    <c:v>08/03/24</c:v>
                  </c:pt>
                  <c:pt idx="2">
                    <c:v>04/04/24</c:v>
                  </c:pt>
                  <c:pt idx="3">
                    <c:v>08/04/24</c:v>
                  </c:pt>
                  <c:pt idx="4">
                    <c:v>04/08/24</c:v>
                  </c:pt>
                  <c:pt idx="5">
                    <c:v>16/09/24</c:v>
                  </c:pt>
                  <c:pt idx="6">
                    <c:v>01/10/24</c:v>
                  </c:pt>
                </c:lvl>
              </c:multiLvlStrCache>
            </c:multiLvlStrRef>
          </c:cat>
          <c:val>
            <c:numRef>
              <c:f>'SALES PERFORMANCE TABLE'!$F$12:$F$26</c:f>
              <c:numCache>
                <c:formatCode>General</c:formatCode>
                <c:ptCount val="7"/>
                <c:pt idx="0">
                  <c:v>30</c:v>
                </c:pt>
                <c:pt idx="1">
                  <c:v>8</c:v>
                </c:pt>
                <c:pt idx="2">
                  <c:v>34</c:v>
                </c:pt>
                <c:pt idx="3">
                  <c:v>52</c:v>
                </c:pt>
                <c:pt idx="4">
                  <c:v>14</c:v>
                </c:pt>
                <c:pt idx="5">
                  <c:v>58</c:v>
                </c:pt>
                <c:pt idx="6">
                  <c:v>24</c:v>
                </c:pt>
              </c:numCache>
            </c:numRef>
          </c:val>
          <c:extLst>
            <c:ext xmlns:c16="http://schemas.microsoft.com/office/drawing/2014/chart" uri="{C3380CC4-5D6E-409C-BE32-E72D297353CC}">
              <c16:uniqueId val="{00000000-8C35-47CB-B0A7-147CBE94CD4C}"/>
            </c:ext>
          </c:extLst>
        </c:ser>
        <c:ser>
          <c:idx val="1"/>
          <c:order val="1"/>
          <c:tx>
            <c:strRef>
              <c:f>'SALES PERFORMANCE TABLE'!$G$11</c:f>
              <c:strCache>
                <c:ptCount val="1"/>
                <c:pt idx="0">
                  <c:v>Revenue</c:v>
                </c:pt>
              </c:strCache>
            </c:strRef>
          </c:tx>
          <c:spPr>
            <a:solidFill>
              <a:srgbClr val="00B0F0"/>
            </a:solidFill>
            <a:ln>
              <a:noFill/>
            </a:ln>
            <a:effectLst/>
          </c:spPr>
          <c:invertIfNegative val="0"/>
          <c:cat>
            <c:multiLvlStrRef>
              <c:f>'SALES PERFORMANCE TABLE'!$E$12:$E$26</c:f>
              <c:multiLvlStrCache>
                <c:ptCount val="7"/>
                <c:lvl>
                  <c:pt idx="0">
                    <c:v>Transfer</c:v>
                  </c:pt>
                  <c:pt idx="1">
                    <c:v>Credit Card</c:v>
                  </c:pt>
                  <c:pt idx="2">
                    <c:v>Transfer</c:v>
                  </c:pt>
                  <c:pt idx="3">
                    <c:v>Transfer</c:v>
                  </c:pt>
                  <c:pt idx="4">
                    <c:v>Credit Card</c:v>
                  </c:pt>
                  <c:pt idx="5">
                    <c:v>Transfer</c:v>
                  </c:pt>
                  <c:pt idx="6">
                    <c:v>Transfer</c:v>
                  </c:pt>
                </c:lvl>
                <c:lvl>
                  <c:pt idx="0">
                    <c:v>03/02/24</c:v>
                  </c:pt>
                  <c:pt idx="1">
                    <c:v>08/03/24</c:v>
                  </c:pt>
                  <c:pt idx="2">
                    <c:v>04/04/24</c:v>
                  </c:pt>
                  <c:pt idx="3">
                    <c:v>08/04/24</c:v>
                  </c:pt>
                  <c:pt idx="4">
                    <c:v>04/08/24</c:v>
                  </c:pt>
                  <c:pt idx="5">
                    <c:v>16/09/24</c:v>
                  </c:pt>
                  <c:pt idx="6">
                    <c:v>01/10/24</c:v>
                  </c:pt>
                </c:lvl>
              </c:multiLvlStrCache>
            </c:multiLvlStrRef>
          </c:cat>
          <c:val>
            <c:numRef>
              <c:f>'SALES PERFORMANCE TABLE'!$G$12:$G$26</c:f>
              <c:numCache>
                <c:formatCode>[$₦-466]\ #,##0</c:formatCode>
                <c:ptCount val="7"/>
                <c:pt idx="0">
                  <c:v>42246</c:v>
                </c:pt>
                <c:pt idx="1">
                  <c:v>42845</c:v>
                </c:pt>
                <c:pt idx="2">
                  <c:v>38608</c:v>
                </c:pt>
                <c:pt idx="3">
                  <c:v>36906</c:v>
                </c:pt>
                <c:pt idx="4">
                  <c:v>70410</c:v>
                </c:pt>
                <c:pt idx="5">
                  <c:v>14894</c:v>
                </c:pt>
                <c:pt idx="6">
                  <c:v>35036</c:v>
                </c:pt>
              </c:numCache>
            </c:numRef>
          </c:val>
          <c:extLst>
            <c:ext xmlns:c16="http://schemas.microsoft.com/office/drawing/2014/chart" uri="{C3380CC4-5D6E-409C-BE32-E72D297353CC}">
              <c16:uniqueId val="{00000001-8C35-47CB-B0A7-147CBE94CD4C}"/>
            </c:ext>
          </c:extLst>
        </c:ser>
        <c:dLbls>
          <c:showLegendKey val="0"/>
          <c:showVal val="0"/>
          <c:showCatName val="0"/>
          <c:showSerName val="0"/>
          <c:showPercent val="0"/>
          <c:showBubbleSize val="0"/>
        </c:dLbls>
        <c:gapWidth val="219"/>
        <c:overlap val="-27"/>
        <c:axId val="709820575"/>
        <c:axId val="698324527"/>
      </c:barChart>
      <c:catAx>
        <c:axId val="7098205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8324527"/>
        <c:crosses val="autoZero"/>
        <c:auto val="1"/>
        <c:lblAlgn val="ctr"/>
        <c:lblOffset val="100"/>
        <c:noMultiLvlLbl val="0"/>
      </c:catAx>
      <c:valAx>
        <c:axId val="69832452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982057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7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PRACTICAL a.xlsx]SALES PERFORMANCE TABLE!PivotTable3</c:name>
    <c:fmtId val="2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PROFIT</a:t>
            </a:r>
            <a:r>
              <a:rPr lang="en-GB" baseline="0"/>
              <a:t> EVALUATION</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00B0F0"/>
            </a:solidFill>
            <a:round/>
          </a:ln>
          <a:effectLst/>
        </c:spPr>
        <c:marker>
          <c:symbol val="circle"/>
          <c:size val="5"/>
          <c:spPr>
            <a:solidFill>
              <a:schemeClr val="accent2"/>
            </a:solidFill>
            <a:ln w="9525">
              <a:solidFill>
                <a:srgbClr val="00B0F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'SALES PERFORMANCE TABLE'!$B$9</c:f>
              <c:strCache>
                <c:ptCount val="1"/>
                <c:pt idx="0">
                  <c:v>profit</c:v>
                </c:pt>
              </c:strCache>
            </c:strRef>
          </c:tx>
          <c:spPr>
            <a:solidFill>
              <a:srgbClr val="002060"/>
            </a:solidFill>
            <a:ln>
              <a:noFill/>
            </a:ln>
            <a:effectLst/>
          </c:spPr>
          <c:invertIfNegative val="0"/>
          <c:cat>
            <c:strRef>
              <c:f>'SALES PERFORMANCE TABLE'!$A$10:$A$17</c:f>
              <c:strCache>
                <c:ptCount val="7"/>
                <c:pt idx="0">
                  <c:v>03/02/24</c:v>
                </c:pt>
                <c:pt idx="1">
                  <c:v>08/03/24</c:v>
                </c:pt>
                <c:pt idx="2">
                  <c:v>04/04/24</c:v>
                </c:pt>
                <c:pt idx="3">
                  <c:v>08/04/24</c:v>
                </c:pt>
                <c:pt idx="4">
                  <c:v>04/08/24</c:v>
                </c:pt>
                <c:pt idx="5">
                  <c:v>16/09/24</c:v>
                </c:pt>
                <c:pt idx="6">
                  <c:v>01/10/24</c:v>
                </c:pt>
              </c:strCache>
            </c:strRef>
          </c:cat>
          <c:val>
            <c:numRef>
              <c:f>'SALES PERFORMANCE TABLE'!$B$10:$B$17</c:f>
              <c:numCache>
                <c:formatCode>[$₦-466]\ #,##0</c:formatCode>
                <c:ptCount val="7"/>
                <c:pt idx="0">
                  <c:v>29572.199999999997</c:v>
                </c:pt>
                <c:pt idx="1">
                  <c:v>8846</c:v>
                </c:pt>
                <c:pt idx="2">
                  <c:v>7721.6</c:v>
                </c:pt>
                <c:pt idx="3">
                  <c:v>20225</c:v>
                </c:pt>
                <c:pt idx="4">
                  <c:v>49152.5</c:v>
                </c:pt>
                <c:pt idx="5">
                  <c:v>7988</c:v>
                </c:pt>
                <c:pt idx="6">
                  <c:v>9788</c:v>
                </c:pt>
              </c:numCache>
            </c:numRef>
          </c:val>
          <c:extLst>
            <c:ext xmlns:c16="http://schemas.microsoft.com/office/drawing/2014/chart" uri="{C3380CC4-5D6E-409C-BE32-E72D297353CC}">
              <c16:uniqueId val="{00000000-83E6-44E1-B732-071D12D5AE4C}"/>
            </c:ext>
          </c:extLst>
        </c:ser>
        <c:dLbls>
          <c:showLegendKey val="0"/>
          <c:showVal val="0"/>
          <c:showCatName val="0"/>
          <c:showSerName val="0"/>
          <c:showPercent val="0"/>
          <c:showBubbleSize val="0"/>
        </c:dLbls>
        <c:gapWidth val="219"/>
        <c:overlap val="100"/>
        <c:axId val="1285364223"/>
        <c:axId val="607080207"/>
      </c:barChart>
      <c:lineChart>
        <c:grouping val="standard"/>
        <c:varyColors val="0"/>
        <c:ser>
          <c:idx val="1"/>
          <c:order val="1"/>
          <c:tx>
            <c:strRef>
              <c:f>'SALES PERFORMANCE TABLE'!$C$9</c:f>
              <c:strCache>
                <c:ptCount val="1"/>
                <c:pt idx="0">
                  <c:v>Profit margin</c:v>
                </c:pt>
              </c:strCache>
            </c:strRef>
          </c:tx>
          <c:spPr>
            <a:ln w="28575" cap="rnd">
              <a:solidFill>
                <a:srgbClr val="00B0F0"/>
              </a:solidFill>
              <a:round/>
            </a:ln>
            <a:effectLst/>
          </c:spPr>
          <c:marker>
            <c:symbol val="circle"/>
            <c:size val="5"/>
            <c:spPr>
              <a:solidFill>
                <a:schemeClr val="accent2"/>
              </a:solidFill>
              <a:ln w="9525">
                <a:solidFill>
                  <a:srgbClr val="00B0F0"/>
                </a:solidFill>
              </a:ln>
              <a:effectLst/>
            </c:spPr>
          </c:marker>
          <c:cat>
            <c:strRef>
              <c:f>'SALES PERFORMANCE TABLE'!$A$10:$A$17</c:f>
              <c:strCache>
                <c:ptCount val="7"/>
                <c:pt idx="0">
                  <c:v>03/02/24</c:v>
                </c:pt>
                <c:pt idx="1">
                  <c:v>08/03/24</c:v>
                </c:pt>
                <c:pt idx="2">
                  <c:v>04/04/24</c:v>
                </c:pt>
                <c:pt idx="3">
                  <c:v>08/04/24</c:v>
                </c:pt>
                <c:pt idx="4">
                  <c:v>04/08/24</c:v>
                </c:pt>
                <c:pt idx="5">
                  <c:v>16/09/24</c:v>
                </c:pt>
                <c:pt idx="6">
                  <c:v>01/10/24</c:v>
                </c:pt>
              </c:strCache>
            </c:strRef>
          </c:cat>
          <c:val>
            <c:numRef>
              <c:f>'SALES PERFORMANCE TABLE'!$C$10:$C$17</c:f>
              <c:numCache>
                <c:formatCode>0%</c:formatCode>
                <c:ptCount val="7"/>
                <c:pt idx="0">
                  <c:v>0.7</c:v>
                </c:pt>
                <c:pt idx="1">
                  <c:v>0.2064651651301202</c:v>
                </c:pt>
                <c:pt idx="2">
                  <c:v>0.2</c:v>
                </c:pt>
                <c:pt idx="3">
                  <c:v>0.54801387308296756</c:v>
                </c:pt>
                <c:pt idx="4">
                  <c:v>0.69808975997727596</c:v>
                </c:pt>
                <c:pt idx="5">
                  <c:v>0.53632335168524237</c:v>
                </c:pt>
                <c:pt idx="6">
                  <c:v>0.27936979107204019</c:v>
                </c:pt>
              </c:numCache>
            </c:numRef>
          </c:val>
          <c:smooth val="0"/>
          <c:extLst>
            <c:ext xmlns:c16="http://schemas.microsoft.com/office/drawing/2014/chart" uri="{C3380CC4-5D6E-409C-BE32-E72D297353CC}">
              <c16:uniqueId val="{00000001-83E6-44E1-B732-071D12D5AE4C}"/>
            </c:ext>
          </c:extLst>
        </c:ser>
        <c:dLbls>
          <c:showLegendKey val="0"/>
          <c:showVal val="0"/>
          <c:showCatName val="0"/>
          <c:showSerName val="0"/>
          <c:showPercent val="0"/>
          <c:showBubbleSize val="0"/>
        </c:dLbls>
        <c:marker val="1"/>
        <c:smooth val="0"/>
        <c:axId val="1285379071"/>
        <c:axId val="607096047"/>
      </c:lineChart>
      <c:catAx>
        <c:axId val="12853642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7080207"/>
        <c:crosses val="autoZero"/>
        <c:auto val="1"/>
        <c:lblAlgn val="ctr"/>
        <c:lblOffset val="100"/>
        <c:noMultiLvlLbl val="0"/>
      </c:catAx>
      <c:valAx>
        <c:axId val="607080207"/>
        <c:scaling>
          <c:orientation val="minMax"/>
        </c:scaling>
        <c:delete val="0"/>
        <c:axPos val="l"/>
        <c:numFmt formatCode="[$₦-466]\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5364223"/>
        <c:crosses val="autoZero"/>
        <c:crossBetween val="between"/>
      </c:valAx>
      <c:valAx>
        <c:axId val="607096047"/>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5379071"/>
        <c:crosses val="max"/>
        <c:crossBetween val="between"/>
      </c:valAx>
      <c:catAx>
        <c:axId val="1285379071"/>
        <c:scaling>
          <c:orientation val="minMax"/>
        </c:scaling>
        <c:delete val="1"/>
        <c:axPos val="b"/>
        <c:numFmt formatCode="General" sourceLinked="1"/>
        <c:majorTickMark val="out"/>
        <c:minorTickMark val="none"/>
        <c:tickLblPos val="nextTo"/>
        <c:crossAx val="607096047"/>
        <c:crosses val="autoZero"/>
        <c:auto val="1"/>
        <c:lblAlgn val="ctr"/>
        <c:lblOffset val="100"/>
        <c:noMultiLvlLbl val="0"/>
      </c:cat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8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PRACTICAL a.xlsx]SALES PERFORMANCE TABLE!PivotTable4</c:name>
    <c:fmtId val="3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DEPARTMENTAL</a:t>
            </a:r>
            <a:r>
              <a:rPr lang="en-GB" baseline="0"/>
              <a:t> PERFORMANCE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rgbClr val="00206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'SALES PERFORMANCE TABLE'!$B$4</c:f>
              <c:strCache>
                <c:ptCount val="1"/>
                <c:pt idx="0">
                  <c:v>Revenue</c:v>
                </c:pt>
              </c:strCache>
            </c:strRef>
          </c:tx>
          <c:spPr>
            <a:ln w="28575" cap="rnd">
              <a:solidFill>
                <a:srgbClr val="002060"/>
              </a:solidFill>
              <a:round/>
            </a:ln>
            <a:effectLst/>
          </c:spPr>
          <c:marker>
            <c:symbol val="none"/>
          </c:marker>
          <c:cat>
            <c:strRef>
              <c:f>'SALES PERFORMANCE TABLE'!$A$5:$A$6</c:f>
              <c:strCache>
                <c:ptCount val="1"/>
                <c:pt idx="0">
                  <c:v>Cloud Tech</c:v>
                </c:pt>
              </c:strCache>
            </c:strRef>
          </c:cat>
          <c:val>
            <c:numRef>
              <c:f>'SALES PERFORMANCE TABLE'!$B$5:$B$6</c:f>
              <c:numCache>
                <c:formatCode>[$₦-466]\ #,##0</c:formatCode>
                <c:ptCount val="1"/>
                <c:pt idx="0">
                  <c:v>280945</c:v>
                </c:pt>
              </c:numCache>
            </c:numRef>
          </c:val>
          <c:smooth val="0"/>
          <c:extLst>
            <c:ext xmlns:c16="http://schemas.microsoft.com/office/drawing/2014/chart" uri="{C3380CC4-5D6E-409C-BE32-E72D297353CC}">
              <c16:uniqueId val="{00000000-66A2-4F19-B76E-4D13F6215D03}"/>
            </c:ext>
          </c:extLst>
        </c:ser>
        <c:ser>
          <c:idx val="1"/>
          <c:order val="1"/>
          <c:tx>
            <c:strRef>
              <c:f>'SALES PERFORMANCE TABLE'!$C$4</c:f>
              <c:strCache>
                <c:ptCount val="1"/>
                <c:pt idx="0">
                  <c:v>Profit</c:v>
                </c:pt>
              </c:strCache>
            </c:strRef>
          </c:tx>
          <c:spPr>
            <a:ln w="28575" cap="rnd">
              <a:solidFill>
                <a:srgbClr val="00B0F0"/>
              </a:solidFill>
              <a:round/>
            </a:ln>
            <a:effectLst/>
          </c:spPr>
          <c:marker>
            <c:symbol val="none"/>
          </c:marker>
          <c:cat>
            <c:strRef>
              <c:f>'SALES PERFORMANCE TABLE'!$A$5:$A$6</c:f>
              <c:strCache>
                <c:ptCount val="1"/>
                <c:pt idx="0">
                  <c:v>Cloud Tech</c:v>
                </c:pt>
              </c:strCache>
            </c:strRef>
          </c:cat>
          <c:val>
            <c:numRef>
              <c:f>'SALES PERFORMANCE TABLE'!$C$5:$C$6</c:f>
              <c:numCache>
                <c:formatCode>[$₦-466]\ #,##0</c:formatCode>
                <c:ptCount val="1"/>
                <c:pt idx="0">
                  <c:v>133293.29999999999</c:v>
                </c:pt>
              </c:numCache>
            </c:numRef>
          </c:val>
          <c:smooth val="0"/>
          <c:extLst>
            <c:ext xmlns:c16="http://schemas.microsoft.com/office/drawing/2014/chart" uri="{C3380CC4-5D6E-409C-BE32-E72D297353CC}">
              <c16:uniqueId val="{00000001-66A2-4F19-B76E-4D13F6215D03}"/>
            </c:ext>
          </c:extLst>
        </c:ser>
        <c:dLbls>
          <c:showLegendKey val="0"/>
          <c:showVal val="0"/>
          <c:showCatName val="0"/>
          <c:showSerName val="0"/>
          <c:showPercent val="0"/>
          <c:showBubbleSize val="0"/>
        </c:dLbls>
        <c:smooth val="0"/>
        <c:axId val="1285327567"/>
        <c:axId val="607022607"/>
      </c:lineChart>
      <c:catAx>
        <c:axId val="128532756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7022607"/>
        <c:crosses val="autoZero"/>
        <c:auto val="1"/>
        <c:lblAlgn val="ctr"/>
        <c:lblOffset val="100"/>
        <c:noMultiLvlLbl val="0"/>
      </c:catAx>
      <c:valAx>
        <c:axId val="607022607"/>
        <c:scaling>
          <c:orientation val="minMax"/>
        </c:scaling>
        <c:delete val="0"/>
        <c:axPos val="l"/>
        <c:numFmt formatCode="[$₦-466]\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532756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8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PRACTICAL a.xlsx]SALES PERFORMANCE TABLE!PivotTable5</c:name>
    <c:fmtId val="4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REGIONAL PERFORMANCE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
      </c:pivotFmt>
      <c:pivotFmt>
        <c:idx val="4"/>
      </c:pivotFmt>
      <c:pivotFmt>
        <c:idx val="5"/>
      </c:pivotFmt>
      <c:pivotFmt>
        <c:idx val="6"/>
      </c:pivotFmt>
      <c:pivotFmt>
        <c:idx val="7"/>
      </c:pivotFmt>
      <c:pivotFmt>
        <c:idx val="8"/>
      </c:pivotFmt>
      <c:pivotFmt>
        <c:idx val="9"/>
      </c:pivotFmt>
      <c:pivotFmt>
        <c:idx val="10"/>
      </c:pivotFmt>
      <c:pivotFmt>
        <c:idx val="1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2"/>
      </c:pivotFmt>
      <c:pivotFmt>
        <c:idx val="13"/>
      </c:pivotFmt>
      <c:pivotFmt>
        <c:idx val="14"/>
      </c:pivotFmt>
      <c:pivotFmt>
        <c:idx val="15"/>
      </c:pivotFmt>
      <c:pivotFmt>
        <c:idx val="16"/>
      </c:pivotFmt>
      <c:pivotFmt>
        <c:idx val="17"/>
      </c:pivotFmt>
      <c:pivotFmt>
        <c:idx val="18"/>
      </c:pivotFmt>
      <c:pivotFmt>
        <c:idx val="19"/>
      </c:pivotFmt>
      <c:pivotFmt>
        <c:idx val="20"/>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pivotFmt>
      <c:pivotFmt>
        <c:idx val="22"/>
      </c:pivotFmt>
      <c:pivotFmt>
        <c:idx val="23"/>
      </c:pivotFmt>
      <c:pivotFmt>
        <c:idx val="24"/>
      </c:pivotFmt>
      <c:pivotFmt>
        <c:idx val="25"/>
      </c:pivotFmt>
      <c:pivotFmt>
        <c:idx val="26"/>
      </c:pivotFmt>
      <c:pivotFmt>
        <c:idx val="27"/>
        <c:spPr>
          <a:solidFill>
            <a:srgbClr val="002060"/>
          </a:solidFill>
          <a:ln>
            <a:noFill/>
          </a:ln>
          <a:effectLst/>
        </c:spPr>
      </c:pivotFmt>
      <c:pivotFmt>
        <c:idx val="28"/>
        <c:spPr>
          <a:solidFill>
            <a:srgbClr val="002060"/>
          </a:solidFill>
          <a:ln>
            <a:noFill/>
          </a:ln>
          <a:effectLst/>
        </c:spPr>
      </c:pivotFmt>
      <c:pivotFmt>
        <c:idx val="29"/>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pivotFmt>
      <c:pivotFmt>
        <c:idx val="31"/>
      </c:pivotFmt>
      <c:pivotFmt>
        <c:idx val="32"/>
      </c:pivotFmt>
      <c:pivotFmt>
        <c:idx val="33"/>
      </c:pivotFmt>
      <c:pivotFmt>
        <c:idx val="34"/>
      </c:pivotFmt>
      <c:pivotFmt>
        <c:idx val="35"/>
      </c:pivotFmt>
      <c:pivotFmt>
        <c:idx val="36"/>
        <c:spPr>
          <a:solidFill>
            <a:srgbClr val="00B0F0"/>
          </a:solidFill>
          <a:ln>
            <a:noFill/>
          </a:ln>
          <a:effectLst/>
        </c:spPr>
      </c:pivotFmt>
      <c:pivotFmt>
        <c:idx val="37"/>
        <c:spPr>
          <a:solidFill>
            <a:srgbClr val="00B0F0"/>
          </a:solidFill>
          <a:ln>
            <a:noFill/>
          </a:ln>
          <a:effectLst/>
        </c:spPr>
      </c:pivotFmt>
    </c:pivotFmts>
    <c:plotArea>
      <c:layout/>
      <c:barChart>
        <c:barDir val="bar"/>
        <c:grouping val="clustered"/>
        <c:varyColors val="0"/>
        <c:ser>
          <c:idx val="0"/>
          <c:order val="0"/>
          <c:tx>
            <c:strRef>
              <c:f>'SALES PERFORMANCE TABLE'!$M$14</c:f>
              <c:strCache>
                <c:ptCount val="1"/>
                <c:pt idx="0">
                  <c:v>Revenue</c:v>
                </c:pt>
              </c:strCache>
            </c:strRef>
          </c:tx>
          <c:spPr>
            <a:solidFill>
              <a:srgbClr val="002060"/>
            </a:solidFill>
            <a:ln>
              <a:noFill/>
            </a:ln>
            <a:effectLst/>
          </c:spPr>
          <c:invertIfNegative val="0"/>
          <c:cat>
            <c:multiLvlStrRef>
              <c:f>'SALES PERFORMANCE TABLE'!$L$15:$L$18</c:f>
              <c:multiLvlStrCache>
                <c:ptCount val="2"/>
                <c:lvl>
                  <c:pt idx="0">
                    <c:v>Credit Card</c:v>
                  </c:pt>
                  <c:pt idx="1">
                    <c:v>Transfer</c:v>
                  </c:pt>
                </c:lvl>
                <c:lvl>
                  <c:pt idx="0">
                    <c:v>Texas</c:v>
                  </c:pt>
                </c:lvl>
              </c:multiLvlStrCache>
            </c:multiLvlStrRef>
          </c:cat>
          <c:val>
            <c:numRef>
              <c:f>'SALES PERFORMANCE TABLE'!$M$15:$M$18</c:f>
              <c:numCache>
                <c:formatCode>[$₦-466]\ #,##0</c:formatCode>
                <c:ptCount val="2"/>
                <c:pt idx="0">
                  <c:v>113255</c:v>
                </c:pt>
                <c:pt idx="1">
                  <c:v>167690</c:v>
                </c:pt>
              </c:numCache>
            </c:numRef>
          </c:val>
          <c:extLst>
            <c:ext xmlns:c16="http://schemas.microsoft.com/office/drawing/2014/chart" uri="{C3380CC4-5D6E-409C-BE32-E72D297353CC}">
              <c16:uniqueId val="{00000010-E112-41BE-9E33-4259974D521B}"/>
            </c:ext>
          </c:extLst>
        </c:ser>
        <c:ser>
          <c:idx val="1"/>
          <c:order val="1"/>
          <c:tx>
            <c:strRef>
              <c:f>'SALES PERFORMANCE TABLE'!$N$14</c:f>
              <c:strCache>
                <c:ptCount val="1"/>
                <c:pt idx="0">
                  <c:v> Profit</c:v>
                </c:pt>
              </c:strCache>
            </c:strRef>
          </c:tx>
          <c:spPr>
            <a:solidFill>
              <a:srgbClr val="00B0F0"/>
            </a:solidFill>
            <a:ln>
              <a:noFill/>
            </a:ln>
            <a:effectLst/>
          </c:spPr>
          <c:invertIfNegative val="0"/>
          <c:cat>
            <c:multiLvlStrRef>
              <c:f>'SALES PERFORMANCE TABLE'!$L$15:$L$18</c:f>
              <c:multiLvlStrCache>
                <c:ptCount val="2"/>
                <c:lvl>
                  <c:pt idx="0">
                    <c:v>Credit Card</c:v>
                  </c:pt>
                  <c:pt idx="1">
                    <c:v>Transfer</c:v>
                  </c:pt>
                </c:lvl>
                <c:lvl>
                  <c:pt idx="0">
                    <c:v>Texas</c:v>
                  </c:pt>
                </c:lvl>
              </c:multiLvlStrCache>
            </c:multiLvlStrRef>
          </c:cat>
          <c:val>
            <c:numRef>
              <c:f>'SALES PERFORMANCE TABLE'!$N$15:$N$18</c:f>
              <c:numCache>
                <c:formatCode>[$₦-466]\ #,##0</c:formatCode>
                <c:ptCount val="2"/>
                <c:pt idx="0">
                  <c:v>57998.5</c:v>
                </c:pt>
                <c:pt idx="1">
                  <c:v>75294.799999999988</c:v>
                </c:pt>
              </c:numCache>
            </c:numRef>
          </c:val>
          <c:extLst>
            <c:ext xmlns:c16="http://schemas.microsoft.com/office/drawing/2014/chart" uri="{C3380CC4-5D6E-409C-BE32-E72D297353CC}">
              <c16:uniqueId val="{00000021-E112-41BE-9E33-4259974D521B}"/>
            </c:ext>
          </c:extLst>
        </c:ser>
        <c:dLbls>
          <c:showLegendKey val="0"/>
          <c:showVal val="0"/>
          <c:showCatName val="0"/>
          <c:showSerName val="0"/>
          <c:showPercent val="0"/>
          <c:showBubbleSize val="0"/>
        </c:dLbls>
        <c:gapWidth val="182"/>
        <c:axId val="1374493935"/>
        <c:axId val="606992367"/>
      </c:barChart>
      <c:valAx>
        <c:axId val="606992367"/>
        <c:scaling>
          <c:orientation val="minMax"/>
        </c:scaling>
        <c:delete val="0"/>
        <c:axPos val="b"/>
        <c:numFmt formatCode="[$₦-466]\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4493935"/>
        <c:crosses val="autoZero"/>
        <c:crossBetween val="between"/>
      </c:valAx>
      <c:catAx>
        <c:axId val="13744939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6992367"/>
        <c:crosses val="autoZero"/>
        <c:auto val="1"/>
        <c:lblAlgn val="ctr"/>
        <c:lblOffset val="100"/>
        <c:noMultiLvlLbl val="0"/>
      </c:cat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6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PRACTICAL a.xlsx]SALES PERFORMANCE TABLE!PivotTable6</c:name>
    <c:fmtId val="4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PAYMENT</a:t>
            </a:r>
            <a:r>
              <a:rPr lang="en-US" baseline="0"/>
              <a:t> BEHAVIOUR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B0F0"/>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F0"/>
          </a:solidFill>
          <a:ln w="25400">
            <a:solidFill>
              <a:schemeClr val="lt1"/>
            </a:solidFill>
          </a:ln>
          <a:effectLst/>
          <a:sp3d contourW="25400">
            <a:contourClr>
              <a:schemeClr val="lt1"/>
            </a:contourClr>
          </a:sp3d>
        </c:spPr>
      </c:pivotFmt>
      <c:pivotFmt>
        <c:idx val="2"/>
        <c:spPr>
          <a:solidFill>
            <a:srgbClr val="002060"/>
          </a:solidFill>
          <a:ln w="25400">
            <a:solidFill>
              <a:schemeClr val="lt1"/>
            </a:solidFill>
          </a:ln>
          <a:effectLst/>
          <a:sp3d contourW="25400">
            <a:contourClr>
              <a:schemeClr val="lt1"/>
            </a:contourClr>
          </a:sp3d>
        </c:spPr>
        <c:dLbl>
          <c:idx val="0"/>
          <c:layout>
            <c:manualLayout>
              <c:x val="6.4652887139107607E-2"/>
              <c:y val="-0.2638331146106736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B0F0"/>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B0F0"/>
          </a:solidFill>
          <a:ln w="25400">
            <a:solidFill>
              <a:schemeClr val="lt1"/>
            </a:solidFill>
          </a:ln>
          <a:effectLst/>
          <a:sp3d contourW="25400">
            <a:contourClr>
              <a:schemeClr val="lt1"/>
            </a:contourClr>
          </a:sp3d>
        </c:spPr>
      </c:pivotFmt>
      <c:pivotFmt>
        <c:idx val="5"/>
        <c:spPr>
          <a:solidFill>
            <a:srgbClr val="002060"/>
          </a:solidFill>
          <a:ln w="25400">
            <a:solidFill>
              <a:schemeClr val="lt1"/>
            </a:solidFill>
          </a:ln>
          <a:effectLst/>
          <a:sp3d contourW="25400">
            <a:contourClr>
              <a:schemeClr val="lt1"/>
            </a:contourClr>
          </a:sp3d>
        </c:spPr>
        <c:dLbl>
          <c:idx val="0"/>
          <c:layout>
            <c:manualLayout>
              <c:x val="6.4652887139107607E-2"/>
              <c:y val="-0.2638331146106736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B0F0"/>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B0F0"/>
          </a:solidFill>
          <a:ln w="25400">
            <a:solidFill>
              <a:schemeClr val="lt1"/>
            </a:solidFill>
          </a:ln>
          <a:effectLst/>
          <a:sp3d contourW="25400">
            <a:contourClr>
              <a:schemeClr val="lt1"/>
            </a:contourClr>
          </a:sp3d>
        </c:spPr>
      </c:pivotFmt>
      <c:pivotFmt>
        <c:idx val="8"/>
        <c:spPr>
          <a:solidFill>
            <a:srgbClr val="002060"/>
          </a:solidFill>
          <a:ln w="25400">
            <a:solidFill>
              <a:schemeClr val="lt1"/>
            </a:solidFill>
          </a:ln>
          <a:effectLst/>
          <a:sp3d contourW="25400">
            <a:contourClr>
              <a:schemeClr val="lt1"/>
            </a:contourClr>
          </a:sp3d>
        </c:spPr>
        <c:dLbl>
          <c:idx val="0"/>
          <c:layout>
            <c:manualLayout>
              <c:x val="6.4652887139107607E-2"/>
              <c:y val="-0.2638331146106736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'SALES PERFORMANCE TABLE'!$F$4</c:f>
              <c:strCache>
                <c:ptCount val="1"/>
                <c:pt idx="0">
                  <c:v>Total</c:v>
                </c:pt>
              </c:strCache>
            </c:strRef>
          </c:tx>
          <c:spPr>
            <a:solidFill>
              <a:srgbClr val="00B0F0"/>
            </a:solidFill>
          </c:spPr>
          <c:dPt>
            <c:idx val="0"/>
            <c:bubble3D val="0"/>
            <c:spPr>
              <a:solidFill>
                <a:srgbClr val="00B0F0"/>
              </a:solidFill>
              <a:ln w="25400">
                <a:solidFill>
                  <a:schemeClr val="lt1"/>
                </a:solidFill>
              </a:ln>
              <a:effectLst/>
              <a:sp3d contourW="25400">
                <a:contourClr>
                  <a:schemeClr val="lt1"/>
                </a:contourClr>
              </a:sp3d>
            </c:spPr>
            <c:extLst>
              <c:ext xmlns:c16="http://schemas.microsoft.com/office/drawing/2014/chart" uri="{C3380CC4-5D6E-409C-BE32-E72D297353CC}">
                <c16:uniqueId val="{00000001-8A94-4EA7-88D3-DFDBE143AA09}"/>
              </c:ext>
            </c:extLst>
          </c:dPt>
          <c:dPt>
            <c:idx val="1"/>
            <c:bubble3D val="0"/>
            <c:spPr>
              <a:solidFill>
                <a:srgbClr val="002060"/>
              </a:solidFill>
              <a:ln w="25400">
                <a:solidFill>
                  <a:schemeClr val="lt1"/>
                </a:solidFill>
              </a:ln>
              <a:effectLst/>
              <a:sp3d contourW="25400">
                <a:contourClr>
                  <a:schemeClr val="lt1"/>
                </a:contourClr>
              </a:sp3d>
            </c:spPr>
            <c:extLst>
              <c:ext xmlns:c16="http://schemas.microsoft.com/office/drawing/2014/chart" uri="{C3380CC4-5D6E-409C-BE32-E72D297353CC}">
                <c16:uniqueId val="{00000003-8A94-4EA7-88D3-DFDBE143AA09}"/>
              </c:ext>
            </c:extLst>
          </c:dPt>
          <c:dLbls>
            <c:dLbl>
              <c:idx val="1"/>
              <c:layout>
                <c:manualLayout>
                  <c:x val="6.4652887139107607E-2"/>
                  <c:y val="-0.26383311461067366"/>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A94-4EA7-88D3-DFDBE143AA0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PERFORMANCE TABLE'!$E$5:$E$7</c:f>
              <c:strCache>
                <c:ptCount val="2"/>
                <c:pt idx="0">
                  <c:v>Credit Card</c:v>
                </c:pt>
                <c:pt idx="1">
                  <c:v>Transfer</c:v>
                </c:pt>
              </c:strCache>
            </c:strRef>
          </c:cat>
          <c:val>
            <c:numRef>
              <c:f>'SALES PERFORMANCE TABLE'!$F$5:$F$7</c:f>
              <c:numCache>
                <c:formatCode>[$₦-466]\ #,##0</c:formatCode>
                <c:ptCount val="2"/>
                <c:pt idx="0">
                  <c:v>113255</c:v>
                </c:pt>
                <c:pt idx="1">
                  <c:v>167690</c:v>
                </c:pt>
              </c:numCache>
            </c:numRef>
          </c:val>
          <c:extLst>
            <c:ext xmlns:c16="http://schemas.microsoft.com/office/drawing/2014/chart" uri="{C3380CC4-5D6E-409C-BE32-E72D297353CC}">
              <c16:uniqueId val="{00000004-8A94-4EA7-88D3-DFDBE143AA09}"/>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PRACTICAL a.xlsx]SALES PERFORMANCE TABLE!PivotTable12</c:name>
    <c:fmtId val="37"/>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GB"/>
              <a:t>DELIVERY</a:t>
            </a:r>
            <a:r>
              <a:rPr lang="en-GB" baseline="0"/>
              <a:t> PERFORMANCE</a:t>
            </a:r>
            <a:endParaRPr lang="en-GB"/>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GB"/>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a:sp3d contourW="9525">
            <a:contourClr>
              <a:schemeClr val="accent1">
                <a:shade val="95000"/>
              </a:schemeClr>
            </a:contourClr>
          </a:sp3d>
        </c:spPr>
        <c:marker>
          <c:symbol val="circle"/>
          <c:size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a:sp3d contourW="9525">
            <a:contourClr>
              <a:schemeClr val="accent1">
                <a:shade val="9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2060"/>
          </a:solidFill>
          <a:ln w="9525" cap="flat" cmpd="sng" algn="ctr">
            <a:solidFill>
              <a:schemeClr val="accent1">
                <a:shade val="95000"/>
              </a:schemeClr>
            </a:solidFill>
            <a:round/>
          </a:ln>
          <a:effectLst/>
          <a:sp3d contourW="9525">
            <a:contourClr>
              <a:schemeClr val="accent1">
                <a:shade val="9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6.2328831412629709E-2"/>
          <c:y val="0.10185185185185185"/>
          <c:w val="0.84359785159305423"/>
          <c:h val="0.54061789151356077"/>
        </c:manualLayout>
      </c:layout>
      <c:line3DChart>
        <c:grouping val="standard"/>
        <c:varyColors val="0"/>
        <c:ser>
          <c:idx val="0"/>
          <c:order val="0"/>
          <c:tx>
            <c:strRef>
              <c:f>'SALES PERFORMANCE TABLE'!$B$19</c:f>
              <c:strCache>
                <c:ptCount val="1"/>
                <c:pt idx="0">
                  <c:v>Total</c:v>
                </c:pt>
              </c:strCache>
            </c:strRef>
          </c:tx>
          <c:spPr>
            <a:solidFill>
              <a:srgbClr val="002060"/>
            </a:solidFill>
            <a:ln w="9525" cap="flat" cmpd="sng" algn="ctr">
              <a:solidFill>
                <a:schemeClr val="accent1">
                  <a:shade val="95000"/>
                </a:schemeClr>
              </a:solidFill>
              <a:round/>
            </a:ln>
            <a:effectLst/>
            <a:sp3d contourW="9525">
              <a:contourClr>
                <a:schemeClr val="accent1">
                  <a:shade val="95000"/>
                </a:schemeClr>
              </a:contourClr>
            </a:sp3d>
          </c:spPr>
          <c:cat>
            <c:multiLvlStrRef>
              <c:f>'SALES PERFORMANCE TABLE'!$A$20:$A$41</c:f>
              <c:multiLvlStrCache>
                <c:ptCount val="7"/>
                <c:lvl>
                  <c:pt idx="0">
                    <c:v>Jordan Boone</c:v>
                  </c:pt>
                  <c:pt idx="1">
                    <c:v>Bill Smith</c:v>
                  </c:pt>
                  <c:pt idx="2">
                    <c:v>Brendan Wallace</c:v>
                  </c:pt>
                  <c:pt idx="3">
                    <c:v>Kylee Townsend</c:v>
                  </c:pt>
                  <c:pt idx="4">
                    <c:v>Jonha Ma</c:v>
                  </c:pt>
                  <c:pt idx="5">
                    <c:v>Nora Rollins</c:v>
                  </c:pt>
                  <c:pt idx="6">
                    <c:v>Ivan Hiney</c:v>
                  </c:pt>
                </c:lvl>
                <c:lvl>
                  <c:pt idx="0">
                    <c:v>04/03/24</c:v>
                  </c:pt>
                  <c:pt idx="1">
                    <c:v>16/03/24</c:v>
                  </c:pt>
                  <c:pt idx="2">
                    <c:v>08/05/24</c:v>
                  </c:pt>
                  <c:pt idx="3">
                    <c:v>30/05/24</c:v>
                  </c:pt>
                  <c:pt idx="4">
                    <c:v>18/08/24</c:v>
                  </c:pt>
                  <c:pt idx="5">
                    <c:v>13/11/24</c:v>
                  </c:pt>
                  <c:pt idx="6">
                    <c:v>25/10/24</c:v>
                  </c:pt>
                </c:lvl>
                <c:lvl>
                  <c:pt idx="0">
                    <c:v>03/02/24</c:v>
                  </c:pt>
                  <c:pt idx="1">
                    <c:v>08/03/24</c:v>
                  </c:pt>
                  <c:pt idx="2">
                    <c:v>04/04/24</c:v>
                  </c:pt>
                  <c:pt idx="3">
                    <c:v>08/04/24</c:v>
                  </c:pt>
                  <c:pt idx="4">
                    <c:v>04/08/24</c:v>
                  </c:pt>
                  <c:pt idx="5">
                    <c:v>16/09/24</c:v>
                  </c:pt>
                  <c:pt idx="6">
                    <c:v>01/10/24</c:v>
                  </c:pt>
                </c:lvl>
              </c:multiLvlStrCache>
            </c:multiLvlStrRef>
          </c:cat>
          <c:val>
            <c:numRef>
              <c:f>'SALES PERFORMANCE TABLE'!$B$20:$B$41</c:f>
              <c:numCache>
                <c:formatCode>General</c:formatCode>
                <c:ptCount val="7"/>
                <c:pt idx="0">
                  <c:v>30</c:v>
                </c:pt>
                <c:pt idx="1">
                  <c:v>8</c:v>
                </c:pt>
                <c:pt idx="2">
                  <c:v>34</c:v>
                </c:pt>
                <c:pt idx="3">
                  <c:v>52</c:v>
                </c:pt>
                <c:pt idx="4">
                  <c:v>14</c:v>
                </c:pt>
                <c:pt idx="5">
                  <c:v>58</c:v>
                </c:pt>
                <c:pt idx="6">
                  <c:v>24</c:v>
                </c:pt>
              </c:numCache>
            </c:numRef>
          </c:val>
          <c:smooth val="0"/>
          <c:extLst>
            <c:ext xmlns:c16="http://schemas.microsoft.com/office/drawing/2014/chart" uri="{C3380CC4-5D6E-409C-BE32-E72D297353CC}">
              <c16:uniqueId val="{00000000-2320-4F98-B7C5-CAD63C8E8EDE}"/>
            </c:ext>
          </c:extLst>
        </c:ser>
        <c:dLbls>
          <c:showLegendKey val="0"/>
          <c:showVal val="0"/>
          <c:showCatName val="0"/>
          <c:showSerName val="0"/>
          <c:showPercent val="0"/>
          <c:showBubbleSize val="0"/>
        </c:dLbls>
        <c:axId val="1285320607"/>
        <c:axId val="607038447"/>
        <c:axId val="660505039"/>
      </c:line3DChart>
      <c:catAx>
        <c:axId val="1285320607"/>
        <c:scaling>
          <c:orientation val="minMax"/>
        </c:scaling>
        <c:delete val="1"/>
        <c:axPos val="b"/>
        <c:numFmt formatCode="General" sourceLinked="1"/>
        <c:majorTickMark val="none"/>
        <c:minorTickMark val="none"/>
        <c:tickLblPos val="nextTo"/>
        <c:crossAx val="607038447"/>
        <c:crosses val="autoZero"/>
        <c:auto val="1"/>
        <c:lblAlgn val="ctr"/>
        <c:lblOffset val="100"/>
        <c:noMultiLvlLbl val="0"/>
      </c:catAx>
      <c:valAx>
        <c:axId val="60703844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285320607"/>
        <c:crosses val="autoZero"/>
        <c:crossBetween val="between"/>
      </c:valAx>
      <c:serAx>
        <c:axId val="660505039"/>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607038447"/>
        <c:crosses val="autoZero"/>
      </c:serAx>
      <c:dTable>
        <c:showHorzBorder val="1"/>
        <c:showVertBorder val="1"/>
        <c:showOutline val="1"/>
        <c:showKeys val="1"/>
        <c:spPr>
          <a:noFill/>
          <a:ln w="9525">
            <a:solidFill>
              <a:schemeClr val="tx1">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tx1">
                    <a:lumMod val="50000"/>
                    <a:lumOff val="50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PRACTICAL a.xlsx]SALES PERFORMANCE TABLE!PivotTable13</c:name>
    <c:fmtId val="3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REVENUE</a:t>
            </a:r>
            <a:r>
              <a:rPr lang="en-GB" baseline="0"/>
              <a:t> BY CLIENT</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'SALES PERFORMANCE TABLE'!$M$4</c:f>
              <c:strCache>
                <c:ptCount val="1"/>
                <c:pt idx="0">
                  <c:v>Revenue</c:v>
                </c:pt>
              </c:strCache>
            </c:strRef>
          </c:tx>
          <c:spPr>
            <a:solidFill>
              <a:srgbClr val="002060"/>
            </a:solidFill>
            <a:ln>
              <a:noFill/>
            </a:ln>
            <a:effectLst/>
          </c:spPr>
          <c:cat>
            <c:strRef>
              <c:f>'SALES PERFORMANCE TABLE'!$L$5:$L$12</c:f>
              <c:strCache>
                <c:ptCount val="7"/>
                <c:pt idx="0">
                  <c:v>Bill Smith</c:v>
                </c:pt>
                <c:pt idx="1">
                  <c:v>Brendan Wallace</c:v>
                </c:pt>
                <c:pt idx="2">
                  <c:v>Ivan Hiney</c:v>
                </c:pt>
                <c:pt idx="3">
                  <c:v>Jonha Ma</c:v>
                </c:pt>
                <c:pt idx="4">
                  <c:v>Jordan Boone</c:v>
                </c:pt>
                <c:pt idx="5">
                  <c:v>Kylee Townsend</c:v>
                </c:pt>
                <c:pt idx="6">
                  <c:v>Nora Rollins</c:v>
                </c:pt>
              </c:strCache>
            </c:strRef>
          </c:cat>
          <c:val>
            <c:numRef>
              <c:f>'SALES PERFORMANCE TABLE'!$M$5:$M$12</c:f>
              <c:numCache>
                <c:formatCode>[$₦-466]\ #,##0</c:formatCode>
                <c:ptCount val="7"/>
                <c:pt idx="0">
                  <c:v>42845</c:v>
                </c:pt>
                <c:pt idx="1">
                  <c:v>38608</c:v>
                </c:pt>
                <c:pt idx="2">
                  <c:v>35036</c:v>
                </c:pt>
                <c:pt idx="3">
                  <c:v>70410</c:v>
                </c:pt>
                <c:pt idx="4">
                  <c:v>42246</c:v>
                </c:pt>
                <c:pt idx="5">
                  <c:v>36906</c:v>
                </c:pt>
                <c:pt idx="6">
                  <c:v>14894</c:v>
                </c:pt>
              </c:numCache>
            </c:numRef>
          </c:val>
          <c:extLst>
            <c:ext xmlns:c16="http://schemas.microsoft.com/office/drawing/2014/chart" uri="{C3380CC4-5D6E-409C-BE32-E72D297353CC}">
              <c16:uniqueId val="{00000000-AD98-40E5-9D6C-E609F6CAB647}"/>
            </c:ext>
          </c:extLst>
        </c:ser>
        <c:ser>
          <c:idx val="1"/>
          <c:order val="1"/>
          <c:tx>
            <c:strRef>
              <c:f>'SALES PERFORMANCE TABLE'!$N$4</c:f>
              <c:strCache>
                <c:ptCount val="1"/>
                <c:pt idx="0">
                  <c:v>Profit</c:v>
                </c:pt>
              </c:strCache>
            </c:strRef>
          </c:tx>
          <c:spPr>
            <a:solidFill>
              <a:srgbClr val="00B0F0"/>
            </a:solidFill>
            <a:ln>
              <a:noFill/>
            </a:ln>
            <a:effectLst/>
          </c:spPr>
          <c:cat>
            <c:strRef>
              <c:f>'SALES PERFORMANCE TABLE'!$L$5:$L$12</c:f>
              <c:strCache>
                <c:ptCount val="7"/>
                <c:pt idx="0">
                  <c:v>Bill Smith</c:v>
                </c:pt>
                <c:pt idx="1">
                  <c:v>Brendan Wallace</c:v>
                </c:pt>
                <c:pt idx="2">
                  <c:v>Ivan Hiney</c:v>
                </c:pt>
                <c:pt idx="3">
                  <c:v>Jonha Ma</c:v>
                </c:pt>
                <c:pt idx="4">
                  <c:v>Jordan Boone</c:v>
                </c:pt>
                <c:pt idx="5">
                  <c:v>Kylee Townsend</c:v>
                </c:pt>
                <c:pt idx="6">
                  <c:v>Nora Rollins</c:v>
                </c:pt>
              </c:strCache>
            </c:strRef>
          </c:cat>
          <c:val>
            <c:numRef>
              <c:f>'SALES PERFORMANCE TABLE'!$N$5:$N$12</c:f>
              <c:numCache>
                <c:formatCode>[$₦-466]\ #,##0</c:formatCode>
                <c:ptCount val="7"/>
                <c:pt idx="0">
                  <c:v>8846</c:v>
                </c:pt>
                <c:pt idx="1">
                  <c:v>7721.6</c:v>
                </c:pt>
                <c:pt idx="2">
                  <c:v>9788</c:v>
                </c:pt>
                <c:pt idx="3">
                  <c:v>49152.5</c:v>
                </c:pt>
                <c:pt idx="4">
                  <c:v>29572.199999999997</c:v>
                </c:pt>
                <c:pt idx="5">
                  <c:v>20225</c:v>
                </c:pt>
                <c:pt idx="6">
                  <c:v>7988</c:v>
                </c:pt>
              </c:numCache>
            </c:numRef>
          </c:val>
          <c:extLst>
            <c:ext xmlns:c16="http://schemas.microsoft.com/office/drawing/2014/chart" uri="{C3380CC4-5D6E-409C-BE32-E72D297353CC}">
              <c16:uniqueId val="{00000001-AD98-40E5-9D6C-E609F6CAB647}"/>
            </c:ext>
          </c:extLst>
        </c:ser>
        <c:dLbls>
          <c:showLegendKey val="0"/>
          <c:showVal val="0"/>
          <c:showCatName val="0"/>
          <c:showSerName val="0"/>
          <c:showPercent val="0"/>
          <c:showBubbleSize val="0"/>
        </c:dLbls>
        <c:axId val="1421175519"/>
        <c:axId val="1421821391"/>
      </c:areaChart>
      <c:catAx>
        <c:axId val="142117551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1821391"/>
        <c:crosses val="autoZero"/>
        <c:auto val="1"/>
        <c:lblAlgn val="ctr"/>
        <c:lblOffset val="100"/>
        <c:noMultiLvlLbl val="0"/>
      </c:catAx>
      <c:valAx>
        <c:axId val="1421821391"/>
        <c:scaling>
          <c:orientation val="minMax"/>
        </c:scaling>
        <c:delete val="0"/>
        <c:axPos val="l"/>
        <c:numFmt formatCode="[$₦-466]\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1175519"/>
        <c:crosses val="autoZero"/>
        <c:crossBetween val="midCat"/>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PRACTICAL a.xlsx]SALES PERFORMANCE TABLE!PivotTable14</c:name>
    <c:fmtId val="4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t>
            </a:r>
            <a:r>
              <a:rPr lang="en-US" baseline="0"/>
              <a:t> MARGIN BY DEPARTMENT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PERFORMANCE TABLE'!$J$4</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errBars>
            <c:errDir val="y"/>
            <c:errBarType val="both"/>
            <c:errValType val="stdErr"/>
            <c:noEndCap val="0"/>
            <c:spPr>
              <a:noFill/>
              <a:ln w="9525" cap="flat" cmpd="sng" algn="ctr">
                <a:solidFill>
                  <a:schemeClr val="tx1">
                    <a:lumMod val="65000"/>
                    <a:lumOff val="35000"/>
                  </a:schemeClr>
                </a:solidFill>
                <a:round/>
              </a:ln>
              <a:effectLst/>
            </c:spPr>
          </c:errBars>
          <c:cat>
            <c:strRef>
              <c:f>'SALES PERFORMANCE TABLE'!$I$5:$I$6</c:f>
              <c:strCache>
                <c:ptCount val="1"/>
                <c:pt idx="0">
                  <c:v>Cloud Tech</c:v>
                </c:pt>
              </c:strCache>
            </c:strRef>
          </c:cat>
          <c:val>
            <c:numRef>
              <c:f>'SALES PERFORMANCE TABLE'!$J$5:$J$6</c:f>
              <c:numCache>
                <c:formatCode>0%</c:formatCode>
                <c:ptCount val="1"/>
                <c:pt idx="0">
                  <c:v>0.4832939626156153</c:v>
                </c:pt>
              </c:numCache>
            </c:numRef>
          </c:val>
          <c:smooth val="0"/>
          <c:extLst>
            <c:ext xmlns:c16="http://schemas.microsoft.com/office/drawing/2014/chart" uri="{C3380CC4-5D6E-409C-BE32-E72D297353CC}">
              <c16:uniqueId val="{00000000-A020-45B7-AFC8-4F0FD804E40A}"/>
            </c:ext>
          </c:extLst>
        </c:ser>
        <c:dLbls>
          <c:showLegendKey val="0"/>
          <c:showVal val="0"/>
          <c:showCatName val="0"/>
          <c:showSerName val="0"/>
          <c:showPercent val="0"/>
          <c:showBubbleSize val="0"/>
        </c:dLbls>
        <c:marker val="1"/>
        <c:smooth val="0"/>
        <c:axId val="1421230735"/>
        <c:axId val="607093167"/>
      </c:lineChart>
      <c:catAx>
        <c:axId val="14212307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7093167"/>
        <c:crosses val="autoZero"/>
        <c:auto val="1"/>
        <c:lblAlgn val="ctr"/>
        <c:lblOffset val="100"/>
        <c:noMultiLvlLbl val="0"/>
      </c:catAx>
      <c:valAx>
        <c:axId val="607093167"/>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123073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11">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image" Target="../media/image5.png"/><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image" Target="../media/image4.svg"/><Relationship Id="rId2" Type="http://schemas.openxmlformats.org/officeDocument/2006/relationships/chart" Target="../charts/chart2.xml"/><Relationship Id="rId16" Type="http://schemas.openxmlformats.org/officeDocument/2006/relationships/image" Target="../media/image7.svg"/><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3.png"/><Relationship Id="rId5" Type="http://schemas.openxmlformats.org/officeDocument/2006/relationships/chart" Target="../charts/chart5.xml"/><Relationship Id="rId15" Type="http://schemas.openxmlformats.org/officeDocument/2006/relationships/image" Target="../media/image6.png"/><Relationship Id="rId10" Type="http://schemas.openxmlformats.org/officeDocument/2006/relationships/image" Target="../media/image2.svg"/><Relationship Id="rId4" Type="http://schemas.openxmlformats.org/officeDocument/2006/relationships/chart" Target="../charts/chart4.xml"/><Relationship Id="rId9" Type="http://schemas.openxmlformats.org/officeDocument/2006/relationships/image" Target="../media/image1.png"/><Relationship Id="rId14" Type="http://schemas.microsoft.com/office/2007/relationships/hdphoto" Target="../media/hdphoto1.wdp"/></Relationships>
</file>

<file path=xl/drawings/drawing1.xml><?xml version="1.0" encoding="utf-8"?>
<xdr:wsDr xmlns:xdr="http://schemas.openxmlformats.org/drawingml/2006/spreadsheetDrawing" xmlns:a="http://schemas.openxmlformats.org/drawingml/2006/main">
  <xdr:twoCellAnchor>
    <xdr:from>
      <xdr:col>2</xdr:col>
      <xdr:colOff>292315</xdr:colOff>
      <xdr:row>2</xdr:row>
      <xdr:rowOff>48222</xdr:rowOff>
    </xdr:from>
    <xdr:to>
      <xdr:col>34</xdr:col>
      <xdr:colOff>509291</xdr:colOff>
      <xdr:row>58</xdr:row>
      <xdr:rowOff>126279</xdr:rowOff>
    </xdr:to>
    <xdr:grpSp>
      <xdr:nvGrpSpPr>
        <xdr:cNvPr id="83" name="Group 82">
          <a:extLst>
            <a:ext uri="{FF2B5EF4-FFF2-40B4-BE49-F238E27FC236}">
              <a16:creationId xmlns:a16="http://schemas.microsoft.com/office/drawing/2014/main" id="{D4EEA39F-FF51-57CA-7767-4C2E1B698F38}"/>
            </a:ext>
          </a:extLst>
        </xdr:cNvPr>
        <xdr:cNvGrpSpPr/>
      </xdr:nvGrpSpPr>
      <xdr:grpSpPr>
        <a:xfrm>
          <a:off x="1519264" y="414154"/>
          <a:ext cx="19848163" cy="10324159"/>
          <a:chOff x="1519264" y="414154"/>
          <a:chExt cx="19848163" cy="10324159"/>
        </a:xfrm>
      </xdr:grpSpPr>
      <xdr:sp macro="" textlink="">
        <xdr:nvSpPr>
          <xdr:cNvPr id="3" name="TextBox 2">
            <a:extLst>
              <a:ext uri="{FF2B5EF4-FFF2-40B4-BE49-F238E27FC236}">
                <a16:creationId xmlns:a16="http://schemas.microsoft.com/office/drawing/2014/main" id="{43D31A24-5596-F575-761B-77D96D5F566A}"/>
              </a:ext>
            </a:extLst>
          </xdr:cNvPr>
          <xdr:cNvSpPr txBox="1"/>
        </xdr:nvSpPr>
        <xdr:spPr>
          <a:xfrm>
            <a:off x="1652931" y="414154"/>
            <a:ext cx="19646475" cy="1169616"/>
          </a:xfrm>
          <a:prstGeom prst="rect">
            <a:avLst/>
          </a:prstGeom>
          <a:noFill/>
          <a:ln w="9525" cmpd="sng">
            <a:noFill/>
          </a:ln>
          <a:effectLst>
            <a:innerShdw blurRad="63500" dist="50800" dir="13500000">
              <a:prstClr val="black">
                <a:alpha val="50000"/>
              </a:prstClr>
            </a:inn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6000" b="1" i="0" baseline="0">
                <a:solidFill>
                  <a:schemeClr val="accent1"/>
                </a:solidFill>
                <a:latin typeface="Algerian" panose="04020705040A02060702" pitchFamily="82" charset="0"/>
                <a:ea typeface="ADLaM Display" panose="020F0502020204030204" pitchFamily="2" charset="0"/>
                <a:cs typeface="ADLaM Display" panose="020F0502020204030204" pitchFamily="2" charset="0"/>
              </a:rPr>
              <a:t>A SALES PERFORMANCE PRACTICAL IN EXCEL</a:t>
            </a:r>
          </a:p>
          <a:p>
            <a:pPr algn="ctr"/>
            <a:endParaRPr lang="en-GB" sz="6000" b="1" i="0">
              <a:solidFill>
                <a:schemeClr val="accent1"/>
              </a:solidFill>
              <a:latin typeface="Algerian" panose="04020705040A02060702" pitchFamily="82" charset="0"/>
              <a:ea typeface="ADLaM Display" panose="020F0502020204030204" pitchFamily="2" charset="0"/>
              <a:cs typeface="ADLaM Display" panose="020F0502020204030204" pitchFamily="2" charset="0"/>
            </a:endParaRPr>
          </a:p>
        </xdr:txBody>
      </xdr:sp>
      <xdr:graphicFrame macro="">
        <xdr:nvGraphicFramePr>
          <xdr:cNvPr id="5" name="Chart 4">
            <a:extLst>
              <a:ext uri="{FF2B5EF4-FFF2-40B4-BE49-F238E27FC236}">
                <a16:creationId xmlns:a16="http://schemas.microsoft.com/office/drawing/2014/main" id="{BEC062CD-154C-4658-9BF5-1245818F250A}"/>
              </a:ext>
            </a:extLst>
          </xdr:cNvPr>
          <xdr:cNvGraphicFramePr>
            <a:graphicFrameLocks/>
          </xdr:cNvGraphicFramePr>
        </xdr:nvGraphicFramePr>
        <xdr:xfrm>
          <a:off x="1703197" y="5179079"/>
          <a:ext cx="4623915" cy="2690019"/>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10" name="Chart 9">
            <a:extLst>
              <a:ext uri="{FF2B5EF4-FFF2-40B4-BE49-F238E27FC236}">
                <a16:creationId xmlns:a16="http://schemas.microsoft.com/office/drawing/2014/main" id="{C254F212-A3C7-48BB-8D58-7919FF0DCCA0}"/>
              </a:ext>
            </a:extLst>
          </xdr:cNvPr>
          <xdr:cNvGraphicFramePr>
            <a:graphicFrameLocks/>
          </xdr:cNvGraphicFramePr>
        </xdr:nvGraphicFramePr>
        <xdr:xfrm>
          <a:off x="6629673" y="5197757"/>
          <a:ext cx="4623914" cy="2686221"/>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14" name="Chart 13">
            <a:extLst>
              <a:ext uri="{FF2B5EF4-FFF2-40B4-BE49-F238E27FC236}">
                <a16:creationId xmlns:a16="http://schemas.microsoft.com/office/drawing/2014/main" id="{E7606F41-3CB2-410C-BDA1-39038F434334}"/>
              </a:ext>
            </a:extLst>
          </xdr:cNvPr>
          <xdr:cNvGraphicFramePr>
            <a:graphicFrameLocks/>
          </xdr:cNvGraphicFramePr>
        </xdr:nvGraphicFramePr>
        <xdr:xfrm>
          <a:off x="11508820" y="5240807"/>
          <a:ext cx="4608973" cy="2686221"/>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15" name="Chart 14">
            <a:extLst>
              <a:ext uri="{FF2B5EF4-FFF2-40B4-BE49-F238E27FC236}">
                <a16:creationId xmlns:a16="http://schemas.microsoft.com/office/drawing/2014/main" id="{27305C82-4D33-451A-976A-7656B3609782}"/>
              </a:ext>
            </a:extLst>
          </xdr:cNvPr>
          <xdr:cNvGraphicFramePr>
            <a:graphicFrameLocks/>
          </xdr:cNvGraphicFramePr>
        </xdr:nvGraphicFramePr>
        <xdr:xfrm>
          <a:off x="16611137" y="5223555"/>
          <a:ext cx="4623915" cy="2690019"/>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16" name="Chart 15">
            <a:extLst>
              <a:ext uri="{FF2B5EF4-FFF2-40B4-BE49-F238E27FC236}">
                <a16:creationId xmlns:a16="http://schemas.microsoft.com/office/drawing/2014/main" id="{C745D715-7CD1-4F88-8FC1-68C742059B79}"/>
              </a:ext>
            </a:extLst>
          </xdr:cNvPr>
          <xdr:cNvGraphicFramePr>
            <a:graphicFrameLocks/>
          </xdr:cNvGraphicFramePr>
        </xdr:nvGraphicFramePr>
        <xdr:xfrm>
          <a:off x="1693860" y="7998276"/>
          <a:ext cx="4623915" cy="2686221"/>
        </xdr:xfrm>
        <a:graphic>
          <a:graphicData uri="http://schemas.openxmlformats.org/drawingml/2006/chart">
            <c:chart xmlns:c="http://schemas.openxmlformats.org/drawingml/2006/chart" xmlns:r="http://schemas.openxmlformats.org/officeDocument/2006/relationships" r:id="rId5"/>
          </a:graphicData>
        </a:graphic>
      </xdr:graphicFrame>
      <xdr:graphicFrame macro="">
        <xdr:nvGraphicFramePr>
          <xdr:cNvPr id="18" name="Chart 17">
            <a:extLst>
              <a:ext uri="{FF2B5EF4-FFF2-40B4-BE49-F238E27FC236}">
                <a16:creationId xmlns:a16="http://schemas.microsoft.com/office/drawing/2014/main" id="{9A1B65E6-85FB-473F-A6D8-DD841B29336F}"/>
              </a:ext>
            </a:extLst>
          </xdr:cNvPr>
          <xdr:cNvGraphicFramePr>
            <a:graphicFrameLocks/>
          </xdr:cNvGraphicFramePr>
        </xdr:nvGraphicFramePr>
        <xdr:xfrm>
          <a:off x="6639011" y="8026293"/>
          <a:ext cx="4627649" cy="2686221"/>
        </xdr:xfrm>
        <a:graphic>
          <a:graphicData uri="http://schemas.openxmlformats.org/drawingml/2006/chart">
            <c:chart xmlns:c="http://schemas.openxmlformats.org/drawingml/2006/chart" xmlns:r="http://schemas.openxmlformats.org/officeDocument/2006/relationships" r:id="rId6"/>
          </a:graphicData>
        </a:graphic>
      </xdr:graphicFrame>
      <xdr:graphicFrame macro="">
        <xdr:nvGraphicFramePr>
          <xdr:cNvPr id="19" name="Chart 18">
            <a:extLst>
              <a:ext uri="{FF2B5EF4-FFF2-40B4-BE49-F238E27FC236}">
                <a16:creationId xmlns:a16="http://schemas.microsoft.com/office/drawing/2014/main" id="{3AAC4F14-A875-4392-85DA-EB89F2DECF4A}"/>
              </a:ext>
            </a:extLst>
          </xdr:cNvPr>
          <xdr:cNvGraphicFramePr>
            <a:graphicFrameLocks/>
          </xdr:cNvGraphicFramePr>
        </xdr:nvGraphicFramePr>
        <xdr:xfrm>
          <a:off x="11522432" y="8052092"/>
          <a:ext cx="4623914" cy="2686221"/>
        </xdr:xfrm>
        <a:graphic>
          <a:graphicData uri="http://schemas.openxmlformats.org/drawingml/2006/chart">
            <c:chart xmlns:c="http://schemas.openxmlformats.org/drawingml/2006/chart" xmlns:r="http://schemas.openxmlformats.org/officeDocument/2006/relationships" r:id="rId7"/>
          </a:graphicData>
        </a:graphic>
      </xdr:graphicFrame>
      <xdr:graphicFrame macro="">
        <xdr:nvGraphicFramePr>
          <xdr:cNvPr id="20" name="Chart 19">
            <a:extLst>
              <a:ext uri="{FF2B5EF4-FFF2-40B4-BE49-F238E27FC236}">
                <a16:creationId xmlns:a16="http://schemas.microsoft.com/office/drawing/2014/main" id="{CA0F714F-9B93-4CC6-AC27-F24D9A633492}"/>
              </a:ext>
            </a:extLst>
          </xdr:cNvPr>
          <xdr:cNvGraphicFramePr>
            <a:graphicFrameLocks/>
          </xdr:cNvGraphicFramePr>
        </xdr:nvGraphicFramePr>
        <xdr:xfrm>
          <a:off x="16581065" y="8001759"/>
          <a:ext cx="4617425" cy="2690020"/>
        </xdr:xfrm>
        <a:graphic>
          <a:graphicData uri="http://schemas.openxmlformats.org/drawingml/2006/chart">
            <c:chart xmlns:c="http://schemas.openxmlformats.org/drawingml/2006/chart" xmlns:r="http://schemas.openxmlformats.org/officeDocument/2006/relationships" r:id="rId8"/>
          </a:graphicData>
        </a:graphic>
      </xdr:graphicFrame>
      <xdr:grpSp>
        <xdr:nvGrpSpPr>
          <xdr:cNvPr id="47" name="Group 46">
            <a:extLst>
              <a:ext uri="{FF2B5EF4-FFF2-40B4-BE49-F238E27FC236}">
                <a16:creationId xmlns:a16="http://schemas.microsoft.com/office/drawing/2014/main" id="{E78F702F-9FC6-E280-81FF-24555E5506F9}"/>
              </a:ext>
            </a:extLst>
          </xdr:cNvPr>
          <xdr:cNvGrpSpPr/>
        </xdr:nvGrpSpPr>
        <xdr:grpSpPr>
          <a:xfrm>
            <a:off x="7277969" y="3636207"/>
            <a:ext cx="3725794" cy="1282354"/>
            <a:chOff x="6739833" y="3679257"/>
            <a:chExt cx="3725794" cy="1282354"/>
          </a:xfrm>
        </xdr:grpSpPr>
        <xdr:sp macro="" textlink="">
          <xdr:nvSpPr>
            <xdr:cNvPr id="22" name="Rectangle 21">
              <a:extLst>
                <a:ext uri="{FF2B5EF4-FFF2-40B4-BE49-F238E27FC236}">
                  <a16:creationId xmlns:a16="http://schemas.microsoft.com/office/drawing/2014/main" id="{7D577624-3F17-750B-B46D-37E30E0EF606}"/>
                </a:ext>
              </a:extLst>
            </xdr:cNvPr>
            <xdr:cNvSpPr/>
          </xdr:nvSpPr>
          <xdr:spPr>
            <a:xfrm>
              <a:off x="6739833" y="3679257"/>
              <a:ext cx="3725794" cy="1282354"/>
            </a:xfrm>
            <a:prstGeom prst="rect">
              <a:avLst/>
            </a:prstGeom>
            <a:solidFill>
              <a:sysClr val="window" lastClr="FFFFFF"/>
            </a:solidFill>
            <a:ln>
              <a:noFill/>
            </a:ln>
            <a:effectLst>
              <a:glow rad="635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pic>
          <xdr:nvPicPr>
            <xdr:cNvPr id="48" name="Graphic 47" descr="Bar graph with upward trend with solid fill">
              <a:extLst>
                <a:ext uri="{FF2B5EF4-FFF2-40B4-BE49-F238E27FC236}">
                  <a16:creationId xmlns:a16="http://schemas.microsoft.com/office/drawing/2014/main" id="{F6B656A3-A2FD-C093-0DC9-E263830DB50E}"/>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867108" y="3872212"/>
              <a:ext cx="933559" cy="886803"/>
            </a:xfrm>
            <a:prstGeom prst="rect">
              <a:avLst/>
            </a:prstGeom>
          </xdr:spPr>
        </xdr:pic>
        <xdr:grpSp>
          <xdr:nvGrpSpPr>
            <xdr:cNvPr id="44" name="Group 43">
              <a:extLst>
                <a:ext uri="{FF2B5EF4-FFF2-40B4-BE49-F238E27FC236}">
                  <a16:creationId xmlns:a16="http://schemas.microsoft.com/office/drawing/2014/main" id="{E0CDE265-88CB-2269-A2DC-901F1ED722CE}"/>
                </a:ext>
              </a:extLst>
            </xdr:cNvPr>
            <xdr:cNvGrpSpPr/>
          </xdr:nvGrpSpPr>
          <xdr:grpSpPr>
            <a:xfrm>
              <a:off x="8131191" y="3778008"/>
              <a:ext cx="2108244" cy="985087"/>
              <a:chOff x="8131191" y="3778008"/>
              <a:chExt cx="2108244" cy="985087"/>
            </a:xfrm>
          </xdr:grpSpPr>
          <xdr:sp macro="" textlink="">
            <xdr:nvSpPr>
              <xdr:cNvPr id="25" name="Rectangle: Rounded Corners 24">
                <a:extLst>
                  <a:ext uri="{FF2B5EF4-FFF2-40B4-BE49-F238E27FC236}">
                    <a16:creationId xmlns:a16="http://schemas.microsoft.com/office/drawing/2014/main" id="{3449FF29-0C8C-0AA9-49DD-E5BD15C7D58C}"/>
                  </a:ext>
                </a:extLst>
              </xdr:cNvPr>
              <xdr:cNvSpPr/>
            </xdr:nvSpPr>
            <xdr:spPr>
              <a:xfrm>
                <a:off x="8137541" y="3778008"/>
                <a:ext cx="2101894" cy="44617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2400" b="1">
                    <a:solidFill>
                      <a:schemeClr val="tx1"/>
                    </a:solidFill>
                  </a:rPr>
                  <a:t>TOTAL PROFIT</a:t>
                </a:r>
              </a:p>
            </xdr:txBody>
          </xdr:sp>
          <xdr:sp macro="" textlink="'SALES PERFORMANCE TABLE'!J17">
            <xdr:nvSpPr>
              <xdr:cNvPr id="26" name="Rectangle: Rounded Corners 25">
                <a:extLst>
                  <a:ext uri="{FF2B5EF4-FFF2-40B4-BE49-F238E27FC236}">
                    <a16:creationId xmlns:a16="http://schemas.microsoft.com/office/drawing/2014/main" id="{10B699BA-EE44-855A-0E38-F00BB0BDAB82}"/>
                  </a:ext>
                </a:extLst>
              </xdr:cNvPr>
              <xdr:cNvSpPr/>
            </xdr:nvSpPr>
            <xdr:spPr>
              <a:xfrm>
                <a:off x="8131191" y="4316916"/>
                <a:ext cx="2101894" cy="44617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fld id="{EEDF935A-1ADE-406B-9536-8CC44289B3CA}" type="TxLink">
                  <a:rPr lang="en-US" sz="2800" b="1" i="0" u="none" strike="noStrike">
                    <a:solidFill>
                      <a:srgbClr val="000000"/>
                    </a:solidFill>
                    <a:latin typeface="Calibri"/>
                    <a:ea typeface="Calibri"/>
                    <a:cs typeface="Calibri"/>
                  </a:rPr>
                  <a:pPr algn="r"/>
                  <a:t>₦ 133,293</a:t>
                </a:fld>
                <a:endParaRPr lang="en-GB" sz="2800" b="1"/>
              </a:p>
            </xdr:txBody>
          </xdr:sp>
        </xdr:grpSp>
      </xdr:grpSp>
      <xdr:grpSp>
        <xdr:nvGrpSpPr>
          <xdr:cNvPr id="51" name="Group 50">
            <a:extLst>
              <a:ext uri="{FF2B5EF4-FFF2-40B4-BE49-F238E27FC236}">
                <a16:creationId xmlns:a16="http://schemas.microsoft.com/office/drawing/2014/main" id="{7B7F1CDA-10F1-01C4-E1ED-B4D500F63189}"/>
              </a:ext>
            </a:extLst>
          </xdr:cNvPr>
          <xdr:cNvGrpSpPr/>
        </xdr:nvGrpSpPr>
        <xdr:grpSpPr>
          <a:xfrm>
            <a:off x="11958634" y="3602812"/>
            <a:ext cx="3794970" cy="1211128"/>
            <a:chOff x="11485074" y="3688914"/>
            <a:chExt cx="3794970" cy="1211128"/>
          </a:xfrm>
        </xdr:grpSpPr>
        <xdr:sp macro="" textlink="">
          <xdr:nvSpPr>
            <xdr:cNvPr id="33" name="Rectangle 32">
              <a:extLst>
                <a:ext uri="{FF2B5EF4-FFF2-40B4-BE49-F238E27FC236}">
                  <a16:creationId xmlns:a16="http://schemas.microsoft.com/office/drawing/2014/main" id="{D2B39DA3-798C-E5A8-4AD5-B7B4B26B3E40}"/>
                </a:ext>
              </a:extLst>
            </xdr:cNvPr>
            <xdr:cNvSpPr/>
          </xdr:nvSpPr>
          <xdr:spPr>
            <a:xfrm>
              <a:off x="11485074" y="3688914"/>
              <a:ext cx="3794970" cy="1211128"/>
            </a:xfrm>
            <a:prstGeom prst="rect">
              <a:avLst/>
            </a:prstGeom>
            <a:solidFill>
              <a:schemeClr val="bg1"/>
            </a:solidFill>
            <a:ln>
              <a:noFill/>
            </a:ln>
            <a:effectLst>
              <a:glow rad="635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pic>
          <xdr:nvPicPr>
            <xdr:cNvPr id="45" name="Graphic 44" descr="Group of people outline">
              <a:extLst>
                <a:ext uri="{FF2B5EF4-FFF2-40B4-BE49-F238E27FC236}">
                  <a16:creationId xmlns:a16="http://schemas.microsoft.com/office/drawing/2014/main" id="{C0731F38-F73D-4A33-B2D1-F6D3B5905623}"/>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1714929" y="3892904"/>
              <a:ext cx="867562" cy="827049"/>
            </a:xfrm>
            <a:prstGeom prst="rect">
              <a:avLst/>
            </a:prstGeom>
          </xdr:spPr>
        </xdr:pic>
        <xdr:sp macro="" textlink="">
          <xdr:nvSpPr>
            <xdr:cNvPr id="29" name="Rectangle: Rounded Corners 28">
              <a:extLst>
                <a:ext uri="{FF2B5EF4-FFF2-40B4-BE49-F238E27FC236}">
                  <a16:creationId xmlns:a16="http://schemas.microsoft.com/office/drawing/2014/main" id="{A0AEE18D-7957-0363-A95F-5628D348E383}"/>
                </a:ext>
              </a:extLst>
            </xdr:cNvPr>
            <xdr:cNvSpPr/>
          </xdr:nvSpPr>
          <xdr:spPr>
            <a:xfrm>
              <a:off x="12994990" y="3797458"/>
              <a:ext cx="2108383" cy="44617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2400" b="1">
                  <a:solidFill>
                    <a:schemeClr val="tx1"/>
                  </a:solidFill>
                </a:rPr>
                <a:t>TOTAL ORDER</a:t>
              </a:r>
            </a:p>
          </xdr:txBody>
        </xdr:sp>
        <xdr:sp macro="" textlink="'SALES PERFORMANCE TABLE'!J21">
          <xdr:nvSpPr>
            <xdr:cNvPr id="31" name="Rectangle: Rounded Corners 30">
              <a:extLst>
                <a:ext uri="{FF2B5EF4-FFF2-40B4-BE49-F238E27FC236}">
                  <a16:creationId xmlns:a16="http://schemas.microsoft.com/office/drawing/2014/main" id="{3AC86235-878B-D354-86B2-95D49F46DD4F}"/>
                </a:ext>
              </a:extLst>
            </xdr:cNvPr>
            <xdr:cNvSpPr/>
          </xdr:nvSpPr>
          <xdr:spPr>
            <a:xfrm>
              <a:off x="13019642" y="4324320"/>
              <a:ext cx="2108383" cy="44617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fld id="{9972B2E4-0F6C-4E6C-9D1D-12BDB6FEF871}" type="TxLink">
                <a:rPr lang="en-US" sz="2800" b="1" i="0" u="none" strike="noStrike">
                  <a:solidFill>
                    <a:srgbClr val="000000"/>
                  </a:solidFill>
                  <a:latin typeface="Calibri"/>
                  <a:ea typeface="Calibri"/>
                  <a:cs typeface="Calibri"/>
                </a:rPr>
                <a:pPr algn="r"/>
                <a:t>8</a:t>
              </a:fld>
              <a:endParaRPr lang="en-GB" sz="2800" b="1"/>
            </a:p>
          </xdr:txBody>
        </xdr:sp>
      </xdr:grpSp>
      <xdr:grpSp>
        <xdr:nvGrpSpPr>
          <xdr:cNvPr id="43" name="Group 42">
            <a:extLst>
              <a:ext uri="{FF2B5EF4-FFF2-40B4-BE49-F238E27FC236}">
                <a16:creationId xmlns:a16="http://schemas.microsoft.com/office/drawing/2014/main" id="{1894635F-1476-EC79-F91D-836F9DA545DB}"/>
              </a:ext>
            </a:extLst>
          </xdr:cNvPr>
          <xdr:cNvGrpSpPr/>
        </xdr:nvGrpSpPr>
        <xdr:grpSpPr>
          <a:xfrm>
            <a:off x="2232697" y="3659641"/>
            <a:ext cx="3774478" cy="1246159"/>
            <a:chOff x="1909816" y="3691930"/>
            <a:chExt cx="3774478" cy="1246159"/>
          </a:xfrm>
        </xdr:grpSpPr>
        <xdr:grpSp>
          <xdr:nvGrpSpPr>
            <xdr:cNvPr id="61" name="Group 60">
              <a:extLst>
                <a:ext uri="{FF2B5EF4-FFF2-40B4-BE49-F238E27FC236}">
                  <a16:creationId xmlns:a16="http://schemas.microsoft.com/office/drawing/2014/main" id="{586E3C7F-2E6A-6CAE-C532-D12C6C78033C}"/>
                </a:ext>
              </a:extLst>
            </xdr:cNvPr>
            <xdr:cNvGrpSpPr/>
          </xdr:nvGrpSpPr>
          <xdr:grpSpPr>
            <a:xfrm>
              <a:off x="1909816" y="3691930"/>
              <a:ext cx="3774478" cy="1246159"/>
              <a:chOff x="1031789" y="2374041"/>
              <a:chExt cx="4056791" cy="1127040"/>
            </a:xfrm>
            <a:solidFill>
              <a:srgbClr val="002060"/>
            </a:solidFill>
          </xdr:grpSpPr>
          <xdr:sp macro="" textlink="">
            <xdr:nvSpPr>
              <xdr:cNvPr id="28" name="Rectangle 27">
                <a:extLst>
                  <a:ext uri="{FF2B5EF4-FFF2-40B4-BE49-F238E27FC236}">
                    <a16:creationId xmlns:a16="http://schemas.microsoft.com/office/drawing/2014/main" id="{EA323439-C36D-436B-58FC-60095F42413E}"/>
                  </a:ext>
                </a:extLst>
              </xdr:cNvPr>
              <xdr:cNvSpPr/>
            </xdr:nvSpPr>
            <xdr:spPr>
              <a:xfrm>
                <a:off x="1031789" y="2374041"/>
                <a:ext cx="4056791" cy="1127040"/>
              </a:xfrm>
              <a:prstGeom prst="rect">
                <a:avLst/>
              </a:prstGeom>
              <a:solidFill>
                <a:sysClr val="window" lastClr="FFFFFF"/>
              </a:solidFill>
              <a:ln>
                <a:noFill/>
              </a:ln>
              <a:effectLst>
                <a:glow rad="635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pic>
            <xdr:nvPicPr>
              <xdr:cNvPr id="39" name="Picture 38" descr="Money outline">
                <a:extLst>
                  <a:ext uri="{FF2B5EF4-FFF2-40B4-BE49-F238E27FC236}">
                    <a16:creationId xmlns:a16="http://schemas.microsoft.com/office/drawing/2014/main" id="{8D5F392E-9719-B682-20E8-E02FAE8AF9A5}"/>
                  </a:ext>
                </a:extLst>
              </xdr:cNvPr>
              <xdr:cNvPicPr>
                <a:picLocks noChangeAspect="1"/>
              </xdr:cNvPicPr>
            </xdr:nvPicPr>
            <xdr:blipFill>
              <a:blip xmlns:r="http://schemas.openxmlformats.org/officeDocument/2006/relationships" r:embed="rId13">
                <a:duotone>
                  <a:schemeClr val="accent1">
                    <a:shade val="45000"/>
                    <a:satMod val="135000"/>
                  </a:schemeClr>
                  <a:prstClr val="white"/>
                </a:duotone>
                <a:extLst>
                  <a:ext uri="{BEBA8EAE-BF5A-486C-A8C5-ECC9F3942E4B}">
                    <a14:imgProps xmlns:a14="http://schemas.microsoft.com/office/drawing/2010/main">
                      <a14:imgLayer r:embed="rId14">
                        <a14:imgEffect>
                          <a14:colorTemperature colorTemp="5900"/>
                        </a14:imgEffect>
                        <a14:imgEffect>
                          <a14:saturation sat="0"/>
                        </a14:imgEffect>
                      </a14:imgLayer>
                    </a14:imgProps>
                  </a:ext>
                </a:extLst>
              </a:blip>
              <a:stretch>
                <a:fillRect/>
              </a:stretch>
            </xdr:blipFill>
            <xdr:spPr>
              <a:xfrm>
                <a:off x="1331113" y="2503908"/>
                <a:ext cx="926756" cy="815203"/>
              </a:xfrm>
              <a:prstGeom prst="rect">
                <a:avLst/>
              </a:prstGeom>
              <a:solidFill>
                <a:srgbClr val="FFFFFF">
                  <a:shade val="85000"/>
                </a:srgbClr>
              </a:solidFill>
              <a:ln w="88900" cap="sq">
                <a:no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grpSp>
        <xdr:grpSp>
          <xdr:nvGrpSpPr>
            <xdr:cNvPr id="42" name="Group 41">
              <a:extLst>
                <a:ext uri="{FF2B5EF4-FFF2-40B4-BE49-F238E27FC236}">
                  <a16:creationId xmlns:a16="http://schemas.microsoft.com/office/drawing/2014/main" id="{5839DD14-002E-5157-4D05-0C2D998A2E06}"/>
                </a:ext>
              </a:extLst>
            </xdr:cNvPr>
            <xdr:cNvGrpSpPr/>
          </xdr:nvGrpSpPr>
          <xdr:grpSpPr>
            <a:xfrm>
              <a:off x="3403551" y="3762042"/>
              <a:ext cx="2104882" cy="1016742"/>
              <a:chOff x="3403551" y="3762042"/>
              <a:chExt cx="2104882" cy="1016742"/>
            </a:xfrm>
          </xdr:grpSpPr>
          <xdr:sp macro="" textlink="">
            <xdr:nvSpPr>
              <xdr:cNvPr id="21" name="Rectangle: Rounded Corners 20">
                <a:extLst>
                  <a:ext uri="{FF2B5EF4-FFF2-40B4-BE49-F238E27FC236}">
                    <a16:creationId xmlns:a16="http://schemas.microsoft.com/office/drawing/2014/main" id="{FDAF65BF-38B4-1E88-86E5-45ED8CC27655}"/>
                  </a:ext>
                </a:extLst>
              </xdr:cNvPr>
              <xdr:cNvSpPr/>
            </xdr:nvSpPr>
            <xdr:spPr>
              <a:xfrm>
                <a:off x="3403551" y="3762042"/>
                <a:ext cx="2101894" cy="446178"/>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2000" b="1">
                    <a:solidFill>
                      <a:schemeClr val="tx1"/>
                    </a:solidFill>
                  </a:rPr>
                  <a:t>TOTAL REVENUE </a:t>
                </a:r>
              </a:p>
            </xdr:txBody>
          </xdr:sp>
          <xdr:sp macro="" textlink="'SALES PERFORMANCE TABLE'!J13">
            <xdr:nvSpPr>
              <xdr:cNvPr id="38" name="Rectangle: Rounded Corners 37">
                <a:extLst>
                  <a:ext uri="{FF2B5EF4-FFF2-40B4-BE49-F238E27FC236}">
                    <a16:creationId xmlns:a16="http://schemas.microsoft.com/office/drawing/2014/main" id="{1D8A63AA-6D3A-21A1-FB4C-ECCDE0C96A5E}"/>
                  </a:ext>
                </a:extLst>
              </xdr:cNvPr>
              <xdr:cNvSpPr/>
            </xdr:nvSpPr>
            <xdr:spPr>
              <a:xfrm>
                <a:off x="3406539" y="4332605"/>
                <a:ext cx="2101894" cy="446179"/>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fld id="{5F02785E-2C71-4B66-9830-FB91D2057651}" type="TxLink">
                  <a:rPr lang="en-US" sz="2400" b="1" i="0" u="none" strike="noStrike">
                    <a:solidFill>
                      <a:srgbClr val="000000"/>
                    </a:solidFill>
                    <a:latin typeface="Calibri"/>
                    <a:ea typeface="Calibri"/>
                    <a:cs typeface="Calibri"/>
                  </a:rPr>
                  <a:pPr algn="r"/>
                  <a:t>₦ 280,945</a:t>
                </a:fld>
                <a:endParaRPr lang="en-GB" sz="2400" b="1"/>
              </a:p>
            </xdr:txBody>
          </xdr:sp>
        </xdr:grpSp>
      </xdr:grpSp>
      <xdr:grpSp>
        <xdr:nvGrpSpPr>
          <xdr:cNvPr id="62" name="Group 61">
            <a:extLst>
              <a:ext uri="{FF2B5EF4-FFF2-40B4-BE49-F238E27FC236}">
                <a16:creationId xmlns:a16="http://schemas.microsoft.com/office/drawing/2014/main" id="{CA5DE145-F6C5-6C08-A116-45DDC4D355E3}"/>
              </a:ext>
            </a:extLst>
          </xdr:cNvPr>
          <xdr:cNvGrpSpPr/>
        </xdr:nvGrpSpPr>
        <xdr:grpSpPr>
          <a:xfrm>
            <a:off x="17060621" y="3669288"/>
            <a:ext cx="3853383" cy="1179788"/>
            <a:chOff x="17329690" y="3615475"/>
            <a:chExt cx="3853383" cy="1179788"/>
          </a:xfrm>
        </xdr:grpSpPr>
        <xdr:sp macro="" textlink="">
          <xdr:nvSpPr>
            <xdr:cNvPr id="35" name="Rectangle 34">
              <a:extLst>
                <a:ext uri="{FF2B5EF4-FFF2-40B4-BE49-F238E27FC236}">
                  <a16:creationId xmlns:a16="http://schemas.microsoft.com/office/drawing/2014/main" id="{3AF0167E-4097-1B11-8815-E8B4B436E1F2}"/>
                </a:ext>
              </a:extLst>
            </xdr:cNvPr>
            <xdr:cNvSpPr/>
          </xdr:nvSpPr>
          <xdr:spPr>
            <a:xfrm>
              <a:off x="17329690" y="3615475"/>
              <a:ext cx="3853383" cy="1179788"/>
            </a:xfrm>
            <a:prstGeom prst="rect">
              <a:avLst/>
            </a:prstGeom>
            <a:solidFill>
              <a:schemeClr val="bg1"/>
            </a:solidFill>
            <a:ln>
              <a:noFill/>
            </a:ln>
            <a:effectLst>
              <a:glow rad="635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30" name="Rectangle: Rounded Corners 29">
              <a:extLst>
                <a:ext uri="{FF2B5EF4-FFF2-40B4-BE49-F238E27FC236}">
                  <a16:creationId xmlns:a16="http://schemas.microsoft.com/office/drawing/2014/main" id="{9903F104-88BD-D1D0-9C87-0AE770C60BC3}"/>
                </a:ext>
              </a:extLst>
            </xdr:cNvPr>
            <xdr:cNvSpPr/>
          </xdr:nvSpPr>
          <xdr:spPr>
            <a:xfrm>
              <a:off x="18891194" y="3723683"/>
              <a:ext cx="2101894" cy="44617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300">
                  <a:solidFill>
                    <a:schemeClr val="tx1"/>
                  </a:solidFill>
                </a:rPr>
                <a:t>OVERALL</a:t>
              </a:r>
              <a:r>
                <a:rPr lang="en-GB" sz="1300" baseline="0">
                  <a:solidFill>
                    <a:schemeClr val="tx1"/>
                  </a:solidFill>
                </a:rPr>
                <a:t> PROFIT MARGIN</a:t>
              </a:r>
              <a:endParaRPr lang="en-GB" sz="1300">
                <a:solidFill>
                  <a:schemeClr val="tx1"/>
                </a:solidFill>
              </a:endParaRPr>
            </a:p>
          </xdr:txBody>
        </xdr:sp>
        <xdr:sp macro="" textlink="'SALES PERFORMANCE TABLE'!J25">
          <xdr:nvSpPr>
            <xdr:cNvPr id="32" name="Rectangle: Rounded Corners 31">
              <a:extLst>
                <a:ext uri="{FF2B5EF4-FFF2-40B4-BE49-F238E27FC236}">
                  <a16:creationId xmlns:a16="http://schemas.microsoft.com/office/drawing/2014/main" id="{20EB6105-2E21-293A-C558-2DA89EB94F52}"/>
                </a:ext>
              </a:extLst>
            </xdr:cNvPr>
            <xdr:cNvSpPr/>
          </xdr:nvSpPr>
          <xdr:spPr>
            <a:xfrm>
              <a:off x="18881996" y="4236793"/>
              <a:ext cx="2101894" cy="44617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fld id="{3C3B77B5-7EAB-413F-9AFE-F5A3DFBF4EF1}" type="TxLink">
                <a:rPr lang="en-US" sz="2400" b="1" i="0" u="none" strike="noStrike">
                  <a:solidFill>
                    <a:srgbClr val="000000"/>
                  </a:solidFill>
                  <a:latin typeface="Calibri"/>
                  <a:ea typeface="Calibri"/>
                  <a:cs typeface="Calibri"/>
                </a:rPr>
                <a:pPr algn="r"/>
                <a:t>48%</a:t>
              </a:fld>
              <a:endParaRPr lang="en-GB" sz="2400" b="1"/>
            </a:p>
          </xdr:txBody>
        </xdr:sp>
        <xdr:pic>
          <xdr:nvPicPr>
            <xdr:cNvPr id="53" name="Graphic 52" descr="Coins outline">
              <a:extLst>
                <a:ext uri="{FF2B5EF4-FFF2-40B4-BE49-F238E27FC236}">
                  <a16:creationId xmlns:a16="http://schemas.microsoft.com/office/drawing/2014/main" id="{45E4261A-F9AF-3C50-0235-32C75BDA045B}"/>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17586271" y="3756186"/>
              <a:ext cx="914400" cy="914400"/>
            </a:xfrm>
            <a:prstGeom prst="rect">
              <a:avLst/>
            </a:prstGeom>
          </xdr:spPr>
        </xdr:pic>
      </xdr:grpSp>
      <mc:AlternateContent xmlns:mc="http://schemas.openxmlformats.org/markup-compatibility/2006" xmlns:a14="http://schemas.microsoft.com/office/drawing/2010/main">
        <mc:Choice Requires="a14">
          <xdr:graphicFrame macro="">
            <xdr:nvGraphicFramePr>
              <xdr:cNvPr id="63" name="Name">
                <a:extLst>
                  <a:ext uri="{FF2B5EF4-FFF2-40B4-BE49-F238E27FC236}">
                    <a16:creationId xmlns:a16="http://schemas.microsoft.com/office/drawing/2014/main" id="{0FD8C7D5-0B48-4A8E-8627-1C88120B9EEB}"/>
                  </a:ext>
                </a:extLst>
              </xdr:cNvPr>
              <xdr:cNvGraphicFramePr/>
            </xdr:nvGraphicFramePr>
            <xdr:xfrm>
              <a:off x="15509067" y="1797373"/>
              <a:ext cx="5661185" cy="1560594"/>
            </xdr:xfrm>
            <a:graphic>
              <a:graphicData uri="http://schemas.microsoft.com/office/drawing/2010/slicer">
                <sle:slicer xmlns:sle="http://schemas.microsoft.com/office/drawing/2010/slicer" name="Name"/>
              </a:graphicData>
            </a:graphic>
          </xdr:graphicFrame>
        </mc:Choice>
        <mc:Fallback xmlns="">
          <xdr:sp macro="" textlink="">
            <xdr:nvSpPr>
              <xdr:cNvPr id="0" name=""/>
              <xdr:cNvSpPr>
                <a:spLocks noTextEdit="1"/>
              </xdr:cNvSpPr>
            </xdr:nvSpPr>
            <xdr:spPr>
              <a:xfrm>
                <a:off x="15509067" y="1797373"/>
                <a:ext cx="5661185" cy="156059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tsle="http://schemas.microsoft.com/office/drawing/2012/timeslicer">
        <mc:Choice Requires="tsle">
          <xdr:graphicFrame macro="">
            <xdr:nvGraphicFramePr>
              <xdr:cNvPr id="67" name="Order Date">
                <a:extLst>
                  <a:ext uri="{FF2B5EF4-FFF2-40B4-BE49-F238E27FC236}">
                    <a16:creationId xmlns:a16="http://schemas.microsoft.com/office/drawing/2014/main" id="{574B3D20-EFE4-4AA5-AED1-C57A5193F5BD}"/>
                  </a:ext>
                </a:extLst>
              </xdr:cNvPr>
              <xdr:cNvGraphicFramePr/>
            </xdr:nvGraphicFramePr>
            <xdr:xfrm>
              <a:off x="1678982" y="1861949"/>
              <a:ext cx="3333750" cy="137160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678982" y="1861949"/>
                <a:ext cx="3333750" cy="1371600"/>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mc:AlternateContent xmlns:mc="http://schemas.openxmlformats.org/markup-compatibility/2006" xmlns:a14="http://schemas.microsoft.com/office/drawing/2010/main">
        <mc:Choice Requires="a14">
          <xdr:graphicFrame macro="">
            <xdr:nvGraphicFramePr>
              <xdr:cNvPr id="73" name="Region">
                <a:extLst>
                  <a:ext uri="{FF2B5EF4-FFF2-40B4-BE49-F238E27FC236}">
                    <a16:creationId xmlns:a16="http://schemas.microsoft.com/office/drawing/2014/main" id="{708B9924-5EF1-4817-9159-A26A91DE0E85}"/>
                  </a:ext>
                </a:extLst>
              </xdr:cNvPr>
              <xdr:cNvGraphicFramePr/>
            </xdr:nvGraphicFramePr>
            <xdr:xfrm>
              <a:off x="11914321" y="1926525"/>
              <a:ext cx="3411782" cy="1237712"/>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1914321" y="1926525"/>
                <a:ext cx="3411782" cy="123771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74" name="Department">
                <a:extLst>
                  <a:ext uri="{FF2B5EF4-FFF2-40B4-BE49-F238E27FC236}">
                    <a16:creationId xmlns:a16="http://schemas.microsoft.com/office/drawing/2014/main" id="{E0316536-860C-4835-A0FB-2B74D2B49E73}"/>
                  </a:ext>
                </a:extLst>
              </xdr:cNvPr>
              <xdr:cNvGraphicFramePr/>
            </xdr:nvGraphicFramePr>
            <xdr:xfrm>
              <a:off x="8093558" y="1937287"/>
              <a:ext cx="3357967" cy="1205425"/>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8093558" y="1937287"/>
                <a:ext cx="3357967" cy="12054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76" name="Payment Type">
                <a:extLst>
                  <a:ext uri="{FF2B5EF4-FFF2-40B4-BE49-F238E27FC236}">
                    <a16:creationId xmlns:a16="http://schemas.microsoft.com/office/drawing/2014/main" id="{C3E8463D-C68F-4BCC-8FE8-339049D97C3A}"/>
                  </a:ext>
                </a:extLst>
              </xdr:cNvPr>
              <xdr:cNvGraphicFramePr/>
            </xdr:nvGraphicFramePr>
            <xdr:xfrm>
              <a:off x="5553559" y="2023389"/>
              <a:ext cx="1828800" cy="908050"/>
            </xdr:xfrm>
            <a:graphic>
              <a:graphicData uri="http://schemas.microsoft.com/office/drawing/2010/slicer">
                <sle:slicer xmlns:sle="http://schemas.microsoft.com/office/drawing/2010/slicer" name="Payment Type"/>
              </a:graphicData>
            </a:graphic>
          </xdr:graphicFrame>
        </mc:Choice>
        <mc:Fallback xmlns="">
          <xdr:sp macro="" textlink="">
            <xdr:nvSpPr>
              <xdr:cNvPr id="0" name=""/>
              <xdr:cNvSpPr>
                <a:spLocks noTextEdit="1"/>
              </xdr:cNvSpPr>
            </xdr:nvSpPr>
            <xdr:spPr>
              <a:xfrm>
                <a:off x="5553559" y="2023389"/>
                <a:ext cx="1828800" cy="90805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xnSp macro="">
        <xdr:nvCxnSpPr>
          <xdr:cNvPr id="79" name="Straight Arrow Connector 78">
            <a:extLst>
              <a:ext uri="{FF2B5EF4-FFF2-40B4-BE49-F238E27FC236}">
                <a16:creationId xmlns:a16="http://schemas.microsoft.com/office/drawing/2014/main" id="{1721D45B-6AE4-954B-D713-C8C019CCCF41}"/>
              </a:ext>
            </a:extLst>
          </xdr:cNvPr>
          <xdr:cNvCxnSpPr/>
        </xdr:nvCxnSpPr>
        <xdr:spPr>
          <a:xfrm>
            <a:off x="1519264" y="3445790"/>
            <a:ext cx="19771102" cy="0"/>
          </a:xfrm>
          <a:prstGeom prst="straightConnector1">
            <a:avLst/>
          </a:prstGeom>
          <a:ln>
            <a:headEnd type="triangle"/>
            <a:tailEnd type="triangle"/>
          </a:ln>
        </xdr:spPr>
        <xdr:style>
          <a:lnRef idx="1">
            <a:schemeClr val="accent2"/>
          </a:lnRef>
          <a:fillRef idx="0">
            <a:schemeClr val="accent2"/>
          </a:fillRef>
          <a:effectRef idx="0">
            <a:schemeClr val="accent2"/>
          </a:effectRef>
          <a:fontRef idx="minor">
            <a:schemeClr val="tx1"/>
          </a:fontRef>
        </xdr:style>
      </xdr:cxnSp>
      <xdr:cxnSp macro="">
        <xdr:nvCxnSpPr>
          <xdr:cNvPr id="81" name="Straight Arrow Connector 80">
            <a:extLst>
              <a:ext uri="{FF2B5EF4-FFF2-40B4-BE49-F238E27FC236}">
                <a16:creationId xmlns:a16="http://schemas.microsoft.com/office/drawing/2014/main" id="{62A9F166-DC60-4F42-84E8-F939846C14B1}"/>
              </a:ext>
            </a:extLst>
          </xdr:cNvPr>
          <xdr:cNvCxnSpPr/>
        </xdr:nvCxnSpPr>
        <xdr:spPr>
          <a:xfrm>
            <a:off x="1596325" y="1682427"/>
            <a:ext cx="19771102" cy="0"/>
          </a:xfrm>
          <a:prstGeom prst="straightConnector1">
            <a:avLst/>
          </a:prstGeom>
          <a:ln>
            <a:headEnd type="triangle"/>
            <a:tailEnd type="triangle"/>
          </a:ln>
        </xdr:spPr>
        <xdr:style>
          <a:lnRef idx="1">
            <a:schemeClr val="accent2"/>
          </a:lnRef>
          <a:fillRef idx="0">
            <a:schemeClr val="accent2"/>
          </a:fillRef>
          <a:effectRef idx="0">
            <a:schemeClr val="accent2"/>
          </a:effectRef>
          <a:fontRef idx="minor">
            <a:schemeClr val="tx1"/>
          </a:fontRef>
        </xdr:style>
      </xdr:cxn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97.38710659722" createdVersion="8" refreshedVersion="8" minRefreshableVersion="3" recordCount="35" xr:uid="{01523528-C12A-4962-8394-54D333650E59}">
  <cacheSource type="worksheet">
    <worksheetSource name="Table1"/>
  </cacheSource>
  <cacheFields count="17">
    <cacheField name="Order ID" numFmtId="1">
      <sharedItems containsSemiMixedTypes="0" containsString="0" containsNumber="1" containsInteger="1" minValue="12997" maxValue="48068"/>
    </cacheField>
    <cacheField name="Order Date" numFmtId="164">
      <sharedItems containsSemiMixedTypes="0" containsNonDate="0" containsDate="1" containsString="0" minDate="2023-10-15T00:00:00" maxDate="2025-02-01T00:00:00" count="30">
        <d v="2024-03-08T00:00:00"/>
        <d v="2024-01-07T00:00:00"/>
        <d v="2024-07-09T00:00:00"/>
        <d v="2024-07-31T00:00:00"/>
        <d v="2023-12-30T00:00:00"/>
        <d v="2024-10-01T00:00:00"/>
        <d v="2024-08-04T00:00:00"/>
        <d v="2024-02-03T00:00:00"/>
        <d v="2024-04-08T00:00:00"/>
        <d v="2024-09-16T00:00:00"/>
        <d v="2024-04-04T00:00:00"/>
        <d v="2024-01-21T00:00:00"/>
        <d v="2024-09-23T00:00:00"/>
        <d v="2024-03-15T00:00:00"/>
        <d v="2024-12-01T00:00:00"/>
        <d v="2024-01-03T00:00:00"/>
        <d v="2024-07-22T00:00:00"/>
        <d v="2024-07-08T00:00:00"/>
        <d v="2024-07-03T00:00:00"/>
        <d v="2024-06-26T00:00:00"/>
        <d v="2023-10-15T00:00:00"/>
        <d v="2024-02-13T00:00:00"/>
        <d v="2025-01-01T00:00:00"/>
        <d v="2024-01-29T00:00:00"/>
        <d v="2025-01-31T00:00:00"/>
        <d v="2024-05-04T00:00:00"/>
        <d v="2024-10-31T00:00:00"/>
        <d v="2024-08-02T00:00:00"/>
        <d v="2024-11-20T00:00:00"/>
        <d v="2024-06-30T00:00:00"/>
      </sharedItems>
      <fieldGroup par="13"/>
    </cacheField>
    <cacheField name="Arrival Date" numFmtId="164">
      <sharedItems containsSemiMixedTypes="0" containsNonDate="0" containsDate="1" containsString="0" minDate="2023-10-29T00:00:00" maxDate="2025-02-10T00:00:00" count="30">
        <d v="2024-03-16T00:00:00"/>
        <d v="2024-03-31T00:00:00"/>
        <d v="2024-08-08T00:00:00"/>
        <d v="2024-09-16T00:00:00"/>
        <d v="2024-03-18T00:00:00"/>
        <d v="2024-10-25T00:00:00"/>
        <d v="2024-08-18T00:00:00"/>
        <d v="2024-03-04T00:00:00"/>
        <d v="2024-05-30T00:00:00"/>
        <d v="2024-11-13T00:00:00"/>
        <d v="2024-05-08T00:00:00"/>
        <d v="2024-04-05T00:00:00"/>
        <d v="2024-12-10T00:00:00"/>
        <d v="2024-05-01T00:00:00"/>
        <d v="2025-01-19T00:00:00"/>
        <d v="2024-01-30T00:00:00"/>
        <d v="2024-09-12T00:00:00"/>
        <d v="2024-09-02T00:00:00"/>
        <d v="2024-07-04T00:00:00"/>
        <d v="2024-05-31T00:00:00"/>
        <d v="2023-10-29T00:00:00"/>
        <d v="2024-04-02T00:00:00"/>
        <d v="2025-01-23T00:00:00"/>
        <d v="2024-03-03T00:00:00"/>
        <d v="2025-02-09T00:00:00"/>
        <d v="2024-07-20T00:00:00"/>
        <d v="2024-12-22T00:00:00"/>
        <d v="2024-09-27T00:00:00"/>
        <d v="2024-12-06T00:00:00"/>
        <d v="2024-07-03T00:00:00"/>
      </sharedItems>
      <fieldGroup par="16"/>
    </cacheField>
    <cacheField name="Name" numFmtId="0">
      <sharedItems count="28">
        <s v="Bill Smith"/>
        <s v="Ken Singh"/>
        <s v="Harley Fritz"/>
        <s v="Nyla Novak"/>
        <s v="David Rasmussen"/>
        <s v="Ivan Hiney"/>
        <s v="Jonha Ma"/>
        <s v="Jordan Boone"/>
        <s v="Kylee Townsend"/>
        <s v="Nora Rollins"/>
        <s v="Brendan Wallace"/>
        <s v="Conor Wise"/>
        <s v="Steven Michael"/>
        <s v="Lucia Mckay"/>
        <s v="Jose Roach"/>
        <s v="Franklin Wrigt"/>
        <s v="Alia Thornton"/>
        <s v="Denzel Flores"/>
        <s v="Bruno Cordova"/>
        <s v="Jaylynn Napp"/>
        <s v="Bruce Rich"/>
        <s v="Arturo Moore"/>
        <s v="Bryce Carpenter"/>
        <s v="Jaidyn Andersen"/>
        <s v="Mark Walm"/>
        <s v="Harry Lee"/>
        <s v="Josh Johnson"/>
        <s v="Mik Naam"/>
      </sharedItems>
    </cacheField>
    <cacheField name="Department" numFmtId="0">
      <sharedItems count="4">
        <s v="Cloud Tech"/>
        <s v="Strategy"/>
        <s v="Operations"/>
        <s v="Big Data"/>
      </sharedItems>
    </cacheField>
    <cacheField name="Region" numFmtId="0">
      <sharedItems count="4">
        <s v="Texas"/>
        <s v="New York"/>
        <s v="Florida"/>
        <s v="California"/>
      </sharedItems>
    </cacheField>
    <cacheField name="Payment Type" numFmtId="0">
      <sharedItems count="2">
        <s v="Credit Card"/>
        <s v="Transfer"/>
      </sharedItems>
    </cacheField>
    <cacheField name="Revenue" numFmtId="165">
      <sharedItems containsSemiMixedTypes="0" containsString="0" containsNumber="1" minValue="10615" maxValue="50763"/>
    </cacheField>
    <cacheField name="Profit" numFmtId="165">
      <sharedItems containsSemiMixedTypes="0" containsString="0" containsNumber="1" minValue="4588" maxValue="67998"/>
    </cacheField>
    <cacheField name="Profpt margin" numFmtId="9">
      <sharedItems containsSemiMixedTypes="0" containsString="0" containsNumber="1" minValue="0.2" maxValue="4.2957862151746795"/>
    </cacheField>
    <cacheField name="Delivery days" numFmtId="0">
      <sharedItems containsSemiMixedTypes="0" containsString="0" containsNumber="1" containsInteger="1" minValue="3" maxValue="84" count="22">
        <n v="8"/>
        <n v="84"/>
        <n v="30"/>
        <n v="47"/>
        <n v="79"/>
        <n v="24"/>
        <n v="14"/>
        <n v="52"/>
        <n v="58"/>
        <n v="34"/>
        <n v="75"/>
        <n v="78"/>
        <n v="49"/>
        <n v="27"/>
        <n v="66"/>
        <n v="61"/>
        <n v="22"/>
        <n v="9"/>
        <n v="77"/>
        <n v="56"/>
        <n v="16"/>
        <n v="3"/>
      </sharedItems>
    </cacheField>
    <cacheField name="Months (Order Date)" numFmtId="0" databaseField="0">
      <fieldGroup base="1">
        <rangePr groupBy="months" startDate="2023-10-15T00:00:00" endDate="2025-02-01T00:00:00"/>
        <groupItems count="14">
          <s v="&lt;15/10/2023"/>
          <s v="Jan"/>
          <s v="Feb"/>
          <s v="Mar"/>
          <s v="Apr"/>
          <s v="May"/>
          <s v="Jun"/>
          <s v="Jul"/>
          <s v="Aug"/>
          <s v="Sep"/>
          <s v="Oct"/>
          <s v="Nov"/>
          <s v="Dec"/>
          <s v="&gt;01/02/2025"/>
        </groupItems>
      </fieldGroup>
    </cacheField>
    <cacheField name="Quarters (Order Date)" numFmtId="0" databaseField="0">
      <fieldGroup base="1">
        <rangePr groupBy="quarters" startDate="2023-10-15T00:00:00" endDate="2025-02-01T00:00:00"/>
        <groupItems count="6">
          <s v="&lt;15/10/2023"/>
          <s v="Qtr1"/>
          <s v="Qtr2"/>
          <s v="Qtr3"/>
          <s v="Qtr4"/>
          <s v="&gt;01/02/2025"/>
        </groupItems>
      </fieldGroup>
    </cacheField>
    <cacheField name="Years (Order Date)" numFmtId="0" databaseField="0">
      <fieldGroup base="1">
        <rangePr groupBy="years" startDate="2023-10-15T00:00:00" endDate="2025-02-01T00:00:00"/>
        <groupItems count="5">
          <s v="&lt;15/10/2023"/>
          <s v="2023"/>
          <s v="2024"/>
          <s v="2025"/>
          <s v="&gt;01/02/2025"/>
        </groupItems>
      </fieldGroup>
    </cacheField>
    <cacheField name="Months (Arrival Date)" numFmtId="0" databaseField="0">
      <fieldGroup base="2">
        <rangePr groupBy="months" startDate="2023-10-29T00:00:00" endDate="2025-02-10T00:00:00"/>
        <groupItems count="14">
          <s v="&lt;29/10/2023"/>
          <s v="Jan"/>
          <s v="Feb"/>
          <s v="Mar"/>
          <s v="Apr"/>
          <s v="May"/>
          <s v="Jun"/>
          <s v="Jul"/>
          <s v="Aug"/>
          <s v="Sep"/>
          <s v="Oct"/>
          <s v="Nov"/>
          <s v="Dec"/>
          <s v="&gt;10/02/2025"/>
        </groupItems>
      </fieldGroup>
    </cacheField>
    <cacheField name="Quarters (Arrival Date)" numFmtId="0" databaseField="0">
      <fieldGroup base="2">
        <rangePr groupBy="quarters" startDate="2023-10-29T00:00:00" endDate="2025-02-10T00:00:00"/>
        <groupItems count="6">
          <s v="&lt;29/10/2023"/>
          <s v="Qtr1"/>
          <s v="Qtr2"/>
          <s v="Qtr3"/>
          <s v="Qtr4"/>
          <s v="&gt;10/02/2025"/>
        </groupItems>
      </fieldGroup>
    </cacheField>
    <cacheField name="Years (Arrival Date)" numFmtId="0" databaseField="0">
      <fieldGroup base="2">
        <rangePr groupBy="years" startDate="2023-10-29T00:00:00" endDate="2025-02-10T00:00:00"/>
        <groupItems count="5">
          <s v="&lt;29/10/2023"/>
          <s v="2023"/>
          <s v="2024"/>
          <s v="2025"/>
          <s v="&gt;10/02/2025"/>
        </groupItems>
      </fieldGroup>
    </cacheField>
  </cacheFields>
  <extLst>
    <ext xmlns:x14="http://schemas.microsoft.com/office/spreadsheetml/2009/9/main" uri="{725AE2AE-9491-48be-B2B4-4EB974FC3084}">
      <x14:pivotCacheDefinition pivotCacheId="141964340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5">
  <r>
    <n v="25691"/>
    <x v="0"/>
    <x v="0"/>
    <x v="0"/>
    <x v="0"/>
    <x v="0"/>
    <x v="0"/>
    <n v="42845"/>
    <n v="8846"/>
    <n v="0.2064651651301202"/>
    <x v="0"/>
  </r>
  <r>
    <n v="27870"/>
    <x v="1"/>
    <x v="1"/>
    <x v="1"/>
    <x v="1"/>
    <x v="1"/>
    <x v="0"/>
    <n v="34152"/>
    <n v="13489"/>
    <n v="0.39496954790349026"/>
    <x v="1"/>
  </r>
  <r>
    <n v="46726"/>
    <x v="2"/>
    <x v="2"/>
    <x v="2"/>
    <x v="1"/>
    <x v="1"/>
    <x v="0"/>
    <n v="15829"/>
    <n v="67998"/>
    <n v="4.2957862151746795"/>
    <x v="2"/>
  </r>
  <r>
    <n v="35895"/>
    <x v="3"/>
    <x v="3"/>
    <x v="3"/>
    <x v="2"/>
    <x v="2"/>
    <x v="0"/>
    <n v="50373"/>
    <n v="21335"/>
    <n v="0.42354038870029581"/>
    <x v="3"/>
  </r>
  <r>
    <n v="27303"/>
    <x v="4"/>
    <x v="4"/>
    <x v="4"/>
    <x v="2"/>
    <x v="2"/>
    <x v="1"/>
    <n v="46467"/>
    <n v="23668"/>
    <n v="0.50935072201777609"/>
    <x v="4"/>
  </r>
  <r>
    <n v="25985"/>
    <x v="5"/>
    <x v="5"/>
    <x v="5"/>
    <x v="0"/>
    <x v="0"/>
    <x v="1"/>
    <n v="35036"/>
    <n v="9788"/>
    <n v="0.27936979107204019"/>
    <x v="5"/>
  </r>
  <r>
    <n v="46060"/>
    <x v="6"/>
    <x v="6"/>
    <x v="6"/>
    <x v="0"/>
    <x v="0"/>
    <x v="0"/>
    <n v="35205"/>
    <n v="24643.5"/>
    <n v="0.7"/>
    <x v="6"/>
  </r>
  <r>
    <n v="32107"/>
    <x v="7"/>
    <x v="7"/>
    <x v="7"/>
    <x v="0"/>
    <x v="0"/>
    <x v="1"/>
    <n v="42246"/>
    <n v="29572.199999999997"/>
    <n v="0.7"/>
    <x v="2"/>
  </r>
  <r>
    <n v="14750"/>
    <x v="8"/>
    <x v="8"/>
    <x v="8"/>
    <x v="0"/>
    <x v="0"/>
    <x v="1"/>
    <n v="36906"/>
    <n v="20225"/>
    <n v="0.54801387308296756"/>
    <x v="7"/>
  </r>
  <r>
    <n v="27691"/>
    <x v="9"/>
    <x v="9"/>
    <x v="9"/>
    <x v="0"/>
    <x v="0"/>
    <x v="1"/>
    <n v="14894"/>
    <n v="7988"/>
    <n v="0.53632335168524237"/>
    <x v="8"/>
  </r>
  <r>
    <n v="47557"/>
    <x v="10"/>
    <x v="10"/>
    <x v="10"/>
    <x v="0"/>
    <x v="0"/>
    <x v="1"/>
    <n v="38608"/>
    <n v="7721.6"/>
    <n v="0.2"/>
    <x v="9"/>
  </r>
  <r>
    <n v="46669"/>
    <x v="11"/>
    <x v="11"/>
    <x v="11"/>
    <x v="2"/>
    <x v="2"/>
    <x v="1"/>
    <n v="46329.599999999999"/>
    <n v="9265.92"/>
    <n v="0.2"/>
    <x v="10"/>
  </r>
  <r>
    <n v="38741"/>
    <x v="12"/>
    <x v="12"/>
    <x v="12"/>
    <x v="3"/>
    <x v="3"/>
    <x v="1"/>
    <n v="21889"/>
    <n v="13107.5"/>
    <n v="0.59881675727534378"/>
    <x v="11"/>
  </r>
  <r>
    <n v="18517"/>
    <x v="13"/>
    <x v="13"/>
    <x v="13"/>
    <x v="3"/>
    <x v="3"/>
    <x v="0"/>
    <n v="18249"/>
    <n v="11589"/>
    <n v="0.6350484958079895"/>
    <x v="3"/>
  </r>
  <r>
    <n v="15314"/>
    <x v="14"/>
    <x v="14"/>
    <x v="14"/>
    <x v="3"/>
    <x v="3"/>
    <x v="0"/>
    <n v="39047"/>
    <n v="20119"/>
    <n v="0.51525085153789019"/>
    <x v="12"/>
  </r>
  <r>
    <n v="16569"/>
    <x v="15"/>
    <x v="15"/>
    <x v="15"/>
    <x v="3"/>
    <x v="3"/>
    <x v="1"/>
    <n v="26215"/>
    <n v="13255"/>
    <n v="0.50562654968529464"/>
    <x v="13"/>
  </r>
  <r>
    <n v="32159"/>
    <x v="16"/>
    <x v="16"/>
    <x v="16"/>
    <x v="2"/>
    <x v="2"/>
    <x v="1"/>
    <n v="43359"/>
    <n v="22488"/>
    <n v="0.51864664775479141"/>
    <x v="7"/>
  </r>
  <r>
    <n v="12997"/>
    <x v="17"/>
    <x v="16"/>
    <x v="17"/>
    <x v="2"/>
    <x v="2"/>
    <x v="0"/>
    <n v="39366"/>
    <n v="26798"/>
    <n v="0.68073972463547228"/>
    <x v="14"/>
  </r>
  <r>
    <n v="33650"/>
    <x v="18"/>
    <x v="17"/>
    <x v="11"/>
    <x v="2"/>
    <x v="2"/>
    <x v="1"/>
    <n v="40125"/>
    <n v="26800"/>
    <n v="0.66791277258566983"/>
    <x v="15"/>
  </r>
  <r>
    <n v="28321"/>
    <x v="19"/>
    <x v="18"/>
    <x v="12"/>
    <x v="3"/>
    <x v="3"/>
    <x v="1"/>
    <n v="48364"/>
    <n v="24659"/>
    <n v="0.50986270779918952"/>
    <x v="0"/>
  </r>
  <r>
    <n v="35767"/>
    <x v="0"/>
    <x v="19"/>
    <x v="18"/>
    <x v="3"/>
    <x v="3"/>
    <x v="0"/>
    <n v="15097"/>
    <n v="7899"/>
    <n v="0.52321653308604354"/>
    <x v="1"/>
  </r>
  <r>
    <n v="38601"/>
    <x v="20"/>
    <x v="20"/>
    <x v="19"/>
    <x v="3"/>
    <x v="3"/>
    <x v="0"/>
    <n v="41034"/>
    <n v="29898"/>
    <n v="0.72861529463371832"/>
    <x v="6"/>
  </r>
  <r>
    <n v="30084"/>
    <x v="21"/>
    <x v="21"/>
    <x v="20"/>
    <x v="3"/>
    <x v="3"/>
    <x v="1"/>
    <n v="27775"/>
    <n v="14697"/>
    <n v="0.52914491449144918"/>
    <x v="12"/>
  </r>
  <r>
    <n v="24370"/>
    <x v="22"/>
    <x v="22"/>
    <x v="21"/>
    <x v="3"/>
    <x v="3"/>
    <x v="1"/>
    <n v="21230"/>
    <n v="13500"/>
    <n v="0.63589260480452192"/>
    <x v="16"/>
  </r>
  <r>
    <n v="31377"/>
    <x v="23"/>
    <x v="23"/>
    <x v="22"/>
    <x v="1"/>
    <x v="1"/>
    <x v="0"/>
    <n v="26577"/>
    <n v="13980"/>
    <n v="0.52601873800654697"/>
    <x v="9"/>
  </r>
  <r>
    <n v="48068"/>
    <x v="24"/>
    <x v="24"/>
    <x v="23"/>
    <x v="1"/>
    <x v="1"/>
    <x v="1"/>
    <n v="17269"/>
    <n v="13815.2"/>
    <n v="0.8"/>
    <x v="17"/>
  </r>
  <r>
    <n v="39414"/>
    <x v="25"/>
    <x v="25"/>
    <x v="24"/>
    <x v="1"/>
    <x v="1"/>
    <x v="0"/>
    <n v="27561"/>
    <n v="13233"/>
    <n v="0.48013497333188199"/>
    <x v="18"/>
  </r>
  <r>
    <n v="21771"/>
    <x v="26"/>
    <x v="26"/>
    <x v="25"/>
    <x v="1"/>
    <x v="1"/>
    <x v="0"/>
    <n v="41852"/>
    <n v="19880"/>
    <n v="0.47500716811621907"/>
    <x v="7"/>
  </r>
  <r>
    <n v="27732"/>
    <x v="27"/>
    <x v="27"/>
    <x v="26"/>
    <x v="1"/>
    <x v="1"/>
    <x v="1"/>
    <n v="10615"/>
    <n v="4588"/>
    <n v="0.43221855864342912"/>
    <x v="19"/>
  </r>
  <r>
    <n v="38800"/>
    <x v="28"/>
    <x v="28"/>
    <x v="27"/>
    <x v="1"/>
    <x v="1"/>
    <x v="1"/>
    <n v="50763"/>
    <n v="26990"/>
    <n v="0.53168646455095248"/>
    <x v="20"/>
  </r>
  <r>
    <n v="42841"/>
    <x v="29"/>
    <x v="29"/>
    <x v="4"/>
    <x v="2"/>
    <x v="2"/>
    <x v="0"/>
    <n v="20962"/>
    <n v="12558"/>
    <n v="0.59908405686480293"/>
    <x v="21"/>
  </r>
  <r>
    <n v="39414"/>
    <x v="25"/>
    <x v="25"/>
    <x v="24"/>
    <x v="1"/>
    <x v="1"/>
    <x v="0"/>
    <n v="27561"/>
    <n v="14500"/>
    <n v="0.52610572910997422"/>
    <x v="18"/>
  </r>
  <r>
    <n v="27870"/>
    <x v="1"/>
    <x v="1"/>
    <x v="1"/>
    <x v="1"/>
    <x v="1"/>
    <x v="0"/>
    <n v="34152"/>
    <n v="17854"/>
    <n v="0.52278051065823383"/>
    <x v="1"/>
  </r>
  <r>
    <n v="46060"/>
    <x v="6"/>
    <x v="6"/>
    <x v="6"/>
    <x v="0"/>
    <x v="0"/>
    <x v="0"/>
    <n v="35205"/>
    <n v="24509"/>
    <n v="0.69617951995455196"/>
    <x v="6"/>
  </r>
  <r>
    <n v="46669"/>
    <x v="11"/>
    <x v="11"/>
    <x v="11"/>
    <x v="2"/>
    <x v="2"/>
    <x v="1"/>
    <n v="31309"/>
    <n v="20221"/>
    <n v="0.64585263023411799"/>
    <x v="1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95DC353-FDE6-4A81-BA68-2FD4A0886586}" name="PivotTable1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1" rowHeaderCaption="Order date">
  <location ref="A19:B41" firstHeaderRow="1" firstDataRow="1" firstDataCol="1"/>
  <pivotFields count="17">
    <pivotField numFmtId="1" showAll="0"/>
    <pivotField axis="axisRow" numFmtId="164" showAll="0">
      <items count="31">
        <item x="20"/>
        <item x="4"/>
        <item x="15"/>
        <item x="1"/>
        <item x="11"/>
        <item x="23"/>
        <item x="7"/>
        <item x="21"/>
        <item x="0"/>
        <item x="13"/>
        <item x="10"/>
        <item x="8"/>
        <item x="25"/>
        <item x="19"/>
        <item x="29"/>
        <item x="18"/>
        <item x="17"/>
        <item x="2"/>
        <item x="16"/>
        <item x="3"/>
        <item x="27"/>
        <item x="6"/>
        <item x="9"/>
        <item x="12"/>
        <item x="5"/>
        <item x="26"/>
        <item x="28"/>
        <item x="14"/>
        <item x="22"/>
        <item x="24"/>
        <item t="default"/>
      </items>
    </pivotField>
    <pivotField axis="axisRow" numFmtId="164" showAll="0">
      <items count="31">
        <item x="20"/>
        <item x="15"/>
        <item x="23"/>
        <item x="7"/>
        <item x="0"/>
        <item x="4"/>
        <item x="1"/>
        <item x="21"/>
        <item x="11"/>
        <item x="13"/>
        <item x="10"/>
        <item x="8"/>
        <item x="19"/>
        <item x="29"/>
        <item x="18"/>
        <item x="25"/>
        <item x="2"/>
        <item x="6"/>
        <item x="17"/>
        <item x="16"/>
        <item x="3"/>
        <item x="27"/>
        <item x="5"/>
        <item x="9"/>
        <item x="28"/>
        <item x="12"/>
        <item x="26"/>
        <item x="14"/>
        <item x="22"/>
        <item x="24"/>
        <item t="default"/>
      </items>
    </pivotField>
    <pivotField axis="axisRow" showAll="0">
      <items count="29">
        <item x="16"/>
        <item x="21"/>
        <item x="0"/>
        <item x="10"/>
        <item x="20"/>
        <item x="18"/>
        <item x="22"/>
        <item x="11"/>
        <item x="4"/>
        <item x="17"/>
        <item x="15"/>
        <item x="2"/>
        <item x="25"/>
        <item x="5"/>
        <item x="23"/>
        <item x="19"/>
        <item x="6"/>
        <item x="7"/>
        <item x="14"/>
        <item x="26"/>
        <item x="1"/>
        <item x="8"/>
        <item x="13"/>
        <item x="24"/>
        <item x="27"/>
        <item x="9"/>
        <item x="3"/>
        <item x="12"/>
        <item t="default"/>
      </items>
    </pivotField>
    <pivotField showAll="0">
      <items count="5">
        <item h="1" x="3"/>
        <item x="0"/>
        <item h="1" x="2"/>
        <item h="1" x="1"/>
        <item t="default"/>
      </items>
    </pivotField>
    <pivotField showAll="0">
      <items count="5">
        <item x="3"/>
        <item x="2"/>
        <item x="1"/>
        <item x="0"/>
        <item t="default"/>
      </items>
    </pivotField>
    <pivotField showAll="0">
      <items count="3">
        <item x="0"/>
        <item x="1"/>
        <item t="default"/>
      </items>
    </pivotField>
    <pivotField numFmtId="165" showAll="0"/>
    <pivotField numFmtId="165" showAll="0"/>
    <pivotField numFmtId="9"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3">
    <field x="1"/>
    <field x="2"/>
    <field x="3"/>
  </rowFields>
  <rowItems count="22">
    <i>
      <x v="6"/>
    </i>
    <i r="1">
      <x v="3"/>
    </i>
    <i r="2">
      <x v="17"/>
    </i>
    <i>
      <x v="8"/>
    </i>
    <i r="1">
      <x v="4"/>
    </i>
    <i r="2">
      <x v="2"/>
    </i>
    <i>
      <x v="10"/>
    </i>
    <i r="1">
      <x v="10"/>
    </i>
    <i r="2">
      <x v="3"/>
    </i>
    <i>
      <x v="11"/>
    </i>
    <i r="1">
      <x v="11"/>
    </i>
    <i r="2">
      <x v="21"/>
    </i>
    <i>
      <x v="21"/>
    </i>
    <i r="1">
      <x v="17"/>
    </i>
    <i r="2">
      <x v="16"/>
    </i>
    <i>
      <x v="22"/>
    </i>
    <i r="1">
      <x v="23"/>
    </i>
    <i r="2">
      <x v="25"/>
    </i>
    <i>
      <x v="24"/>
    </i>
    <i r="1">
      <x v="22"/>
    </i>
    <i r="2">
      <x v="13"/>
    </i>
    <i t="grand">
      <x/>
    </i>
  </rowItems>
  <colItems count="1">
    <i/>
  </colItems>
  <dataFields count="1">
    <dataField name="Delivery days" fld="10" subtotal="average" baseField="0" baseItem="0"/>
  </dataFields>
  <chartFormats count="1">
    <chartFormat chart="3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86E9BA7-C9B8-40C8-9315-F2F71D7F1058}" name="PivotTable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4" rowHeaderCaption="Payment method">
  <location ref="E4:F7" firstHeaderRow="1" firstDataRow="1" firstDataCol="1"/>
  <pivotFields count="17">
    <pivotField numFmtId="1" showAll="0"/>
    <pivotField numFmtId="164" showAll="0">
      <items count="31">
        <item x="20"/>
        <item x="4"/>
        <item x="15"/>
        <item x="1"/>
        <item x="11"/>
        <item x="23"/>
        <item x="7"/>
        <item x="21"/>
        <item x="0"/>
        <item x="13"/>
        <item x="10"/>
        <item x="8"/>
        <item x="25"/>
        <item x="19"/>
        <item x="29"/>
        <item x="18"/>
        <item x="17"/>
        <item x="2"/>
        <item x="16"/>
        <item x="3"/>
        <item x="27"/>
        <item x="6"/>
        <item x="9"/>
        <item x="12"/>
        <item x="5"/>
        <item x="26"/>
        <item x="28"/>
        <item x="14"/>
        <item x="22"/>
        <item x="24"/>
        <item t="default"/>
      </items>
    </pivotField>
    <pivotField numFmtId="164" showAll="0">
      <items count="31">
        <item x="20"/>
        <item x="15"/>
        <item x="23"/>
        <item x="7"/>
        <item x="0"/>
        <item x="4"/>
        <item x="1"/>
        <item x="21"/>
        <item x="11"/>
        <item x="13"/>
        <item x="10"/>
        <item x="8"/>
        <item x="19"/>
        <item x="29"/>
        <item x="18"/>
        <item x="25"/>
        <item x="2"/>
        <item x="6"/>
        <item x="17"/>
        <item x="16"/>
        <item x="3"/>
        <item x="27"/>
        <item x="5"/>
        <item x="9"/>
        <item x="28"/>
        <item x="12"/>
        <item x="26"/>
        <item x="14"/>
        <item x="22"/>
        <item x="24"/>
        <item t="default"/>
      </items>
    </pivotField>
    <pivotField showAll="0">
      <items count="29">
        <item x="16"/>
        <item x="21"/>
        <item x="0"/>
        <item x="10"/>
        <item x="20"/>
        <item x="18"/>
        <item x="22"/>
        <item x="11"/>
        <item x="4"/>
        <item x="17"/>
        <item x="15"/>
        <item x="2"/>
        <item x="25"/>
        <item x="5"/>
        <item x="23"/>
        <item x="19"/>
        <item x="6"/>
        <item x="7"/>
        <item x="14"/>
        <item x="26"/>
        <item x="1"/>
        <item x="8"/>
        <item x="13"/>
        <item x="24"/>
        <item x="27"/>
        <item x="9"/>
        <item x="3"/>
        <item x="12"/>
        <item t="default"/>
      </items>
    </pivotField>
    <pivotField showAll="0">
      <items count="5">
        <item h="1" x="3"/>
        <item x="0"/>
        <item h="1" x="2"/>
        <item h="1" x="1"/>
        <item t="default"/>
      </items>
    </pivotField>
    <pivotField showAll="0">
      <items count="5">
        <item x="3"/>
        <item x="2"/>
        <item x="1"/>
        <item x="0"/>
        <item t="default"/>
      </items>
    </pivotField>
    <pivotField axis="axisRow" showAll="0">
      <items count="3">
        <item x="0"/>
        <item x="1"/>
        <item t="default"/>
      </items>
    </pivotField>
    <pivotField dataField="1" numFmtId="165" showAll="0"/>
    <pivotField numFmtId="165" showAll="0"/>
    <pivotField numFmtId="9"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6"/>
  </rowFields>
  <rowItems count="3">
    <i>
      <x/>
    </i>
    <i>
      <x v="1"/>
    </i>
    <i t="grand">
      <x/>
    </i>
  </rowItems>
  <colItems count="1">
    <i/>
  </colItems>
  <dataFields count="1">
    <dataField name="Revenue" fld="7" baseField="0" baseItem="0" numFmtId="165"/>
  </dataFields>
  <chartFormats count="3">
    <chartFormat chart="43" format="6" series="1">
      <pivotArea type="data" outline="0" fieldPosition="0">
        <references count="1">
          <reference field="4294967294" count="1" selected="0">
            <x v="0"/>
          </reference>
        </references>
      </pivotArea>
    </chartFormat>
    <chartFormat chart="43" format="7">
      <pivotArea type="data" outline="0" fieldPosition="0">
        <references count="2">
          <reference field="4294967294" count="1" selected="0">
            <x v="0"/>
          </reference>
          <reference field="6" count="1" selected="0">
            <x v="0"/>
          </reference>
        </references>
      </pivotArea>
    </chartFormat>
    <chartFormat chart="43" format="8">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4F78AAF-2EB5-43AE-B51B-0C314996DF3C}" name="PivotTable13" cacheId="0"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38" rowHeaderCaption="Client">
  <location ref="L4:N12" firstHeaderRow="0" firstDataRow="1" firstDataCol="1"/>
  <pivotFields count="17">
    <pivotField numFmtId="1" showAll="0"/>
    <pivotField numFmtId="164" showAll="0">
      <items count="31">
        <item x="20"/>
        <item x="4"/>
        <item x="15"/>
        <item x="1"/>
        <item x="11"/>
        <item x="23"/>
        <item x="7"/>
        <item x="21"/>
        <item x="0"/>
        <item x="13"/>
        <item x="10"/>
        <item x="8"/>
        <item x="25"/>
        <item x="19"/>
        <item x="29"/>
        <item x="18"/>
        <item x="17"/>
        <item x="2"/>
        <item x="16"/>
        <item x="3"/>
        <item x="27"/>
        <item x="6"/>
        <item x="9"/>
        <item x="12"/>
        <item x="5"/>
        <item x="26"/>
        <item x="28"/>
        <item x="14"/>
        <item x="22"/>
        <item x="24"/>
        <item t="default"/>
      </items>
    </pivotField>
    <pivotField numFmtId="164" showAll="0">
      <items count="31">
        <item x="20"/>
        <item x="15"/>
        <item x="23"/>
        <item x="7"/>
        <item x="0"/>
        <item x="4"/>
        <item x="1"/>
        <item x="21"/>
        <item x="11"/>
        <item x="13"/>
        <item x="10"/>
        <item x="8"/>
        <item x="19"/>
        <item x="29"/>
        <item x="18"/>
        <item x="25"/>
        <item x="2"/>
        <item x="6"/>
        <item x="17"/>
        <item x="16"/>
        <item x="3"/>
        <item x="27"/>
        <item x="5"/>
        <item x="9"/>
        <item x="28"/>
        <item x="12"/>
        <item x="26"/>
        <item x="14"/>
        <item x="22"/>
        <item x="24"/>
        <item t="default"/>
      </items>
    </pivotField>
    <pivotField axis="axisRow" showAll="0">
      <items count="29">
        <item x="16"/>
        <item x="21"/>
        <item x="0"/>
        <item x="10"/>
        <item x="20"/>
        <item x="18"/>
        <item x="22"/>
        <item x="11"/>
        <item x="4"/>
        <item x="17"/>
        <item x="15"/>
        <item x="2"/>
        <item x="25"/>
        <item x="5"/>
        <item x="23"/>
        <item x="19"/>
        <item x="6"/>
        <item x="7"/>
        <item x="14"/>
        <item x="26"/>
        <item x="1"/>
        <item x="8"/>
        <item x="13"/>
        <item x="24"/>
        <item x="27"/>
        <item x="9"/>
        <item x="3"/>
        <item x="12"/>
        <item t="default"/>
      </items>
    </pivotField>
    <pivotField showAll="0">
      <items count="5">
        <item h="1" x="3"/>
        <item x="0"/>
        <item h="1" x="2"/>
        <item h="1" x="1"/>
        <item t="default"/>
      </items>
    </pivotField>
    <pivotField showAll="0">
      <items count="5">
        <item x="3"/>
        <item x="2"/>
        <item x="1"/>
        <item x="0"/>
        <item t="default"/>
      </items>
    </pivotField>
    <pivotField showAll="0">
      <items count="3">
        <item x="0"/>
        <item x="1"/>
        <item t="default"/>
      </items>
    </pivotField>
    <pivotField dataField="1" numFmtId="165" showAll="0"/>
    <pivotField dataField="1" numFmtId="165" showAll="0"/>
    <pivotField numFmtId="9"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3"/>
  </rowFields>
  <rowItems count="8">
    <i>
      <x v="2"/>
    </i>
    <i>
      <x v="3"/>
    </i>
    <i>
      <x v="13"/>
    </i>
    <i>
      <x v="16"/>
    </i>
    <i>
      <x v="17"/>
    </i>
    <i>
      <x v="21"/>
    </i>
    <i>
      <x v="25"/>
    </i>
    <i t="grand">
      <x/>
    </i>
  </rowItems>
  <colFields count="1">
    <field x="-2"/>
  </colFields>
  <colItems count="2">
    <i>
      <x/>
    </i>
    <i i="1">
      <x v="1"/>
    </i>
  </colItems>
  <dataFields count="2">
    <dataField name="Revenue" fld="7" baseField="0" baseItem="0" numFmtId="165"/>
    <dataField name="Profit" fld="8" baseField="0" baseItem="0" numFmtId="165"/>
  </dataFields>
  <chartFormats count="2">
    <chartFormat chart="36" format="4" series="1">
      <pivotArea type="data" outline="0" fieldPosition="0">
        <references count="1">
          <reference field="4294967294" count="1" selected="0">
            <x v="0"/>
          </reference>
        </references>
      </pivotArea>
    </chartFormat>
    <chartFormat chart="3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BEEE074-4278-43D7-88B6-06A32F6E0E90}" name="PivotTable14" cacheId="0"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56" rowHeaderCaption="Department">
  <location ref="I4:J6" firstHeaderRow="1" firstDataRow="1" firstDataCol="1"/>
  <pivotFields count="17">
    <pivotField numFmtId="1" showAll="0"/>
    <pivotField numFmtId="164" showAll="0">
      <items count="31">
        <item x="20"/>
        <item x="4"/>
        <item x="15"/>
        <item x="1"/>
        <item x="11"/>
        <item x="23"/>
        <item x="7"/>
        <item x="21"/>
        <item x="0"/>
        <item x="13"/>
        <item x="10"/>
        <item x="8"/>
        <item x="25"/>
        <item x="19"/>
        <item x="29"/>
        <item x="18"/>
        <item x="17"/>
        <item x="2"/>
        <item x="16"/>
        <item x="3"/>
        <item x="27"/>
        <item x="6"/>
        <item x="9"/>
        <item x="12"/>
        <item x="5"/>
        <item x="26"/>
        <item x="28"/>
        <item x="14"/>
        <item x="22"/>
        <item x="24"/>
        <item t="default"/>
      </items>
    </pivotField>
    <pivotField numFmtId="164" showAll="0">
      <items count="31">
        <item x="20"/>
        <item x="15"/>
        <item x="23"/>
        <item x="7"/>
        <item x="0"/>
        <item x="4"/>
        <item x="1"/>
        <item x="21"/>
        <item x="11"/>
        <item x="13"/>
        <item x="10"/>
        <item x="8"/>
        <item x="19"/>
        <item x="29"/>
        <item x="18"/>
        <item x="25"/>
        <item x="2"/>
        <item x="6"/>
        <item x="17"/>
        <item x="16"/>
        <item x="3"/>
        <item x="27"/>
        <item x="5"/>
        <item x="9"/>
        <item x="28"/>
        <item x="12"/>
        <item x="26"/>
        <item x="14"/>
        <item x="22"/>
        <item x="24"/>
        <item t="default"/>
      </items>
    </pivotField>
    <pivotField showAll="0">
      <items count="29">
        <item x="16"/>
        <item x="21"/>
        <item x="0"/>
        <item x="10"/>
        <item x="20"/>
        <item x="18"/>
        <item x="22"/>
        <item x="11"/>
        <item x="4"/>
        <item x="17"/>
        <item x="15"/>
        <item x="2"/>
        <item x="25"/>
        <item x="5"/>
        <item x="23"/>
        <item x="19"/>
        <item x="6"/>
        <item x="7"/>
        <item x="14"/>
        <item x="26"/>
        <item x="1"/>
        <item x="8"/>
        <item x="13"/>
        <item x="24"/>
        <item x="27"/>
        <item x="9"/>
        <item x="3"/>
        <item x="12"/>
        <item t="default"/>
      </items>
    </pivotField>
    <pivotField axis="axisRow" showAll="0">
      <items count="5">
        <item h="1" x="3"/>
        <item x="0"/>
        <item h="1" x="2"/>
        <item h="1" x="1"/>
        <item t="default"/>
      </items>
    </pivotField>
    <pivotField showAll="0">
      <items count="5">
        <item x="3"/>
        <item x="2"/>
        <item x="1"/>
        <item x="0"/>
        <item t="default"/>
      </items>
    </pivotField>
    <pivotField showAll="0">
      <items count="3">
        <item x="0"/>
        <item x="1"/>
        <item t="default"/>
      </items>
    </pivotField>
    <pivotField numFmtId="165" showAll="0"/>
    <pivotField numFmtId="165" showAll="0"/>
    <pivotField dataField="1" numFmtId="9"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4"/>
  </rowFields>
  <rowItems count="2">
    <i>
      <x v="1"/>
    </i>
    <i t="grand">
      <x/>
    </i>
  </rowItems>
  <colItems count="1">
    <i/>
  </colItems>
  <dataFields count="1">
    <dataField name="Profit margin" fld="9" subtotal="average" baseField="0" baseItem="0" numFmtId="9"/>
  </dataFields>
  <chartFormats count="1">
    <chartFormat chart="4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7F0228A-3DF2-4E70-9937-3EF496E2E311}"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0" rowHeaderCaption="REGIONAL PERFORMANCE">
  <location ref="L14:N18" firstHeaderRow="0" firstDataRow="1" firstDataCol="1"/>
  <pivotFields count="17">
    <pivotField numFmtId="1" showAll="0"/>
    <pivotField numFmtId="164" showAll="0">
      <items count="31">
        <item x="20"/>
        <item x="4"/>
        <item x="15"/>
        <item x="1"/>
        <item x="11"/>
        <item x="23"/>
        <item x="7"/>
        <item x="21"/>
        <item x="0"/>
        <item x="13"/>
        <item x="10"/>
        <item x="8"/>
        <item x="25"/>
        <item x="19"/>
        <item x="29"/>
        <item x="18"/>
        <item x="17"/>
        <item x="2"/>
        <item x="16"/>
        <item x="3"/>
        <item x="27"/>
        <item x="6"/>
        <item x="9"/>
        <item x="12"/>
        <item x="5"/>
        <item x="26"/>
        <item x="28"/>
        <item x="14"/>
        <item x="22"/>
        <item x="24"/>
        <item t="default"/>
      </items>
    </pivotField>
    <pivotField numFmtId="164" showAll="0">
      <items count="31">
        <item x="20"/>
        <item x="15"/>
        <item x="23"/>
        <item x="7"/>
        <item x="0"/>
        <item x="4"/>
        <item x="1"/>
        <item x="21"/>
        <item x="11"/>
        <item x="13"/>
        <item x="10"/>
        <item x="8"/>
        <item x="19"/>
        <item x="29"/>
        <item x="18"/>
        <item x="25"/>
        <item x="2"/>
        <item x="6"/>
        <item x="17"/>
        <item x="16"/>
        <item x="3"/>
        <item x="27"/>
        <item x="5"/>
        <item x="9"/>
        <item x="28"/>
        <item x="12"/>
        <item x="26"/>
        <item x="14"/>
        <item x="22"/>
        <item x="24"/>
        <item t="default"/>
      </items>
    </pivotField>
    <pivotField showAll="0">
      <items count="29">
        <item x="16"/>
        <item x="21"/>
        <item x="0"/>
        <item x="10"/>
        <item x="20"/>
        <item x="18"/>
        <item x="22"/>
        <item x="11"/>
        <item x="4"/>
        <item x="17"/>
        <item x="15"/>
        <item x="2"/>
        <item x="25"/>
        <item x="5"/>
        <item x="23"/>
        <item x="19"/>
        <item x="6"/>
        <item x="7"/>
        <item x="14"/>
        <item x="26"/>
        <item x="1"/>
        <item x="8"/>
        <item x="13"/>
        <item x="24"/>
        <item x="27"/>
        <item x="9"/>
        <item x="3"/>
        <item x="12"/>
        <item t="default"/>
      </items>
    </pivotField>
    <pivotField showAll="0">
      <items count="5">
        <item h="1" x="3"/>
        <item x="0"/>
        <item h="1" x="2"/>
        <item h="1" x="1"/>
        <item t="default"/>
      </items>
    </pivotField>
    <pivotField axis="axisRow" showAll="0">
      <items count="5">
        <item x="3"/>
        <item x="2"/>
        <item x="1"/>
        <item x="0"/>
        <item t="default"/>
      </items>
    </pivotField>
    <pivotField axis="axisRow" showAll="0">
      <items count="3">
        <item x="0"/>
        <item x="1"/>
        <item t="default"/>
      </items>
    </pivotField>
    <pivotField dataField="1" numFmtId="165" showAll="0"/>
    <pivotField dataField="1" numFmtId="165" showAll="0"/>
    <pivotField numFmtId="9"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2">
    <field x="5"/>
    <field x="6"/>
  </rowFields>
  <rowItems count="4">
    <i>
      <x v="3"/>
    </i>
    <i r="1">
      <x/>
    </i>
    <i r="1">
      <x v="1"/>
    </i>
    <i t="grand">
      <x/>
    </i>
  </rowItems>
  <colFields count="1">
    <field x="-2"/>
  </colFields>
  <colItems count="2">
    <i>
      <x/>
    </i>
    <i i="1">
      <x v="1"/>
    </i>
  </colItems>
  <dataFields count="2">
    <dataField name="Revenue" fld="7" baseField="0" baseItem="0" numFmtId="165"/>
    <dataField name=" Profit" fld="8" baseField="0" baseItem="0" numFmtId="165"/>
  </dataFields>
  <chartFormats count="18">
    <chartFormat chart="41" format="20" series="1">
      <pivotArea type="data" outline="0" fieldPosition="0">
        <references count="1">
          <reference field="4294967294" count="1" selected="0">
            <x v="0"/>
          </reference>
        </references>
      </pivotArea>
    </chartFormat>
    <chartFormat chart="41" format="21">
      <pivotArea type="data" outline="0" fieldPosition="0">
        <references count="3">
          <reference field="4294967294" count="1" selected="0">
            <x v="0"/>
          </reference>
          <reference field="5" count="1" selected="0">
            <x v="0"/>
          </reference>
          <reference field="6" count="1" selected="0">
            <x v="0"/>
          </reference>
        </references>
      </pivotArea>
    </chartFormat>
    <chartFormat chart="41" format="22">
      <pivotArea type="data" outline="0" fieldPosition="0">
        <references count="3">
          <reference field="4294967294" count="1" selected="0">
            <x v="0"/>
          </reference>
          <reference field="5" count="1" selected="0">
            <x v="0"/>
          </reference>
          <reference field="6" count="1" selected="0">
            <x v="1"/>
          </reference>
        </references>
      </pivotArea>
    </chartFormat>
    <chartFormat chart="41" format="23">
      <pivotArea type="data" outline="0" fieldPosition="0">
        <references count="3">
          <reference field="4294967294" count="1" selected="0">
            <x v="0"/>
          </reference>
          <reference field="5" count="1" selected="0">
            <x v="1"/>
          </reference>
          <reference field="6" count="1" selected="0">
            <x v="0"/>
          </reference>
        </references>
      </pivotArea>
    </chartFormat>
    <chartFormat chart="41" format="24">
      <pivotArea type="data" outline="0" fieldPosition="0">
        <references count="3">
          <reference field="4294967294" count="1" selected="0">
            <x v="0"/>
          </reference>
          <reference field="5" count="1" selected="0">
            <x v="1"/>
          </reference>
          <reference field="6" count="1" selected="0">
            <x v="1"/>
          </reference>
        </references>
      </pivotArea>
    </chartFormat>
    <chartFormat chart="41" format="25">
      <pivotArea type="data" outline="0" fieldPosition="0">
        <references count="3">
          <reference field="4294967294" count="1" selected="0">
            <x v="0"/>
          </reference>
          <reference field="5" count="1" selected="0">
            <x v="2"/>
          </reference>
          <reference field="6" count="1" selected="0">
            <x v="0"/>
          </reference>
        </references>
      </pivotArea>
    </chartFormat>
    <chartFormat chart="41" format="26">
      <pivotArea type="data" outline="0" fieldPosition="0">
        <references count="3">
          <reference field="4294967294" count="1" selected="0">
            <x v="0"/>
          </reference>
          <reference field="5" count="1" selected="0">
            <x v="2"/>
          </reference>
          <reference field="6" count="1" selected="0">
            <x v="1"/>
          </reference>
        </references>
      </pivotArea>
    </chartFormat>
    <chartFormat chart="41" format="27">
      <pivotArea type="data" outline="0" fieldPosition="0">
        <references count="3">
          <reference field="4294967294" count="1" selected="0">
            <x v="0"/>
          </reference>
          <reference field="5" count="1" selected="0">
            <x v="3"/>
          </reference>
          <reference field="6" count="1" selected="0">
            <x v="0"/>
          </reference>
        </references>
      </pivotArea>
    </chartFormat>
    <chartFormat chart="41" format="28">
      <pivotArea type="data" outline="0" fieldPosition="0">
        <references count="3">
          <reference field="4294967294" count="1" selected="0">
            <x v="0"/>
          </reference>
          <reference field="5" count="1" selected="0">
            <x v="3"/>
          </reference>
          <reference field="6" count="1" selected="0">
            <x v="1"/>
          </reference>
        </references>
      </pivotArea>
    </chartFormat>
    <chartFormat chart="41" format="29" series="1">
      <pivotArea type="data" outline="0" fieldPosition="0">
        <references count="1">
          <reference field="4294967294" count="1" selected="0">
            <x v="1"/>
          </reference>
        </references>
      </pivotArea>
    </chartFormat>
    <chartFormat chart="41" format="30">
      <pivotArea type="data" outline="0" fieldPosition="0">
        <references count="3">
          <reference field="4294967294" count="1" selected="0">
            <x v="1"/>
          </reference>
          <reference field="5" count="1" selected="0">
            <x v="0"/>
          </reference>
          <reference field="6" count="1" selected="0">
            <x v="0"/>
          </reference>
        </references>
      </pivotArea>
    </chartFormat>
    <chartFormat chart="41" format="31">
      <pivotArea type="data" outline="0" fieldPosition="0">
        <references count="3">
          <reference field="4294967294" count="1" selected="0">
            <x v="1"/>
          </reference>
          <reference field="5" count="1" selected="0">
            <x v="0"/>
          </reference>
          <reference field="6" count="1" selected="0">
            <x v="1"/>
          </reference>
        </references>
      </pivotArea>
    </chartFormat>
    <chartFormat chart="41" format="32">
      <pivotArea type="data" outline="0" fieldPosition="0">
        <references count="3">
          <reference field="4294967294" count="1" selected="0">
            <x v="1"/>
          </reference>
          <reference field="5" count="1" selected="0">
            <x v="1"/>
          </reference>
          <reference field="6" count="1" selected="0">
            <x v="0"/>
          </reference>
        </references>
      </pivotArea>
    </chartFormat>
    <chartFormat chart="41" format="33">
      <pivotArea type="data" outline="0" fieldPosition="0">
        <references count="3">
          <reference field="4294967294" count="1" selected="0">
            <x v="1"/>
          </reference>
          <reference field="5" count="1" selected="0">
            <x v="1"/>
          </reference>
          <reference field="6" count="1" selected="0">
            <x v="1"/>
          </reference>
        </references>
      </pivotArea>
    </chartFormat>
    <chartFormat chart="41" format="34">
      <pivotArea type="data" outline="0" fieldPosition="0">
        <references count="3">
          <reference field="4294967294" count="1" selected="0">
            <x v="1"/>
          </reference>
          <reference field="5" count="1" selected="0">
            <x v="2"/>
          </reference>
          <reference field="6" count="1" selected="0">
            <x v="0"/>
          </reference>
        </references>
      </pivotArea>
    </chartFormat>
    <chartFormat chart="41" format="35">
      <pivotArea type="data" outline="0" fieldPosition="0">
        <references count="3">
          <reference field="4294967294" count="1" selected="0">
            <x v="1"/>
          </reference>
          <reference field="5" count="1" selected="0">
            <x v="2"/>
          </reference>
          <reference field="6" count="1" selected="0">
            <x v="1"/>
          </reference>
        </references>
      </pivotArea>
    </chartFormat>
    <chartFormat chart="41" format="36">
      <pivotArea type="data" outline="0" fieldPosition="0">
        <references count="3">
          <reference field="4294967294" count="1" selected="0">
            <x v="1"/>
          </reference>
          <reference field="5" count="1" selected="0">
            <x v="3"/>
          </reference>
          <reference field="6" count="1" selected="0">
            <x v="0"/>
          </reference>
        </references>
      </pivotArea>
    </chartFormat>
    <chartFormat chart="41" format="37">
      <pivotArea type="data" outline="0" fieldPosition="0">
        <references count="3">
          <reference field="4294967294" count="1" selected="0">
            <x v="1"/>
          </reference>
          <reference field="5" count="1" selected="0">
            <x v="3"/>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C4FA153-56EB-4370-9E50-0AA8BC19118E}" name="PivotTable18" cacheId="0"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56" rowHeaderCaption="Department">
  <location ref="I25:I26" firstHeaderRow="1" firstDataRow="1" firstDataCol="0"/>
  <pivotFields count="17">
    <pivotField numFmtId="1" showAll="0"/>
    <pivotField numFmtId="164" showAll="0">
      <items count="31">
        <item x="20"/>
        <item x="4"/>
        <item x="15"/>
        <item x="1"/>
        <item x="11"/>
        <item x="23"/>
        <item x="7"/>
        <item x="21"/>
        <item x="0"/>
        <item x="13"/>
        <item x="10"/>
        <item x="8"/>
        <item x="25"/>
        <item x="19"/>
        <item x="29"/>
        <item x="18"/>
        <item x="17"/>
        <item x="2"/>
        <item x="16"/>
        <item x="3"/>
        <item x="27"/>
        <item x="6"/>
        <item x="9"/>
        <item x="12"/>
        <item x="5"/>
        <item x="26"/>
        <item x="28"/>
        <item x="14"/>
        <item x="22"/>
        <item x="24"/>
        <item t="default"/>
      </items>
    </pivotField>
    <pivotField numFmtId="164" showAll="0">
      <items count="31">
        <item x="20"/>
        <item x="15"/>
        <item x="23"/>
        <item x="7"/>
        <item x="0"/>
        <item x="4"/>
        <item x="1"/>
        <item x="21"/>
        <item x="11"/>
        <item x="13"/>
        <item x="10"/>
        <item x="8"/>
        <item x="19"/>
        <item x="29"/>
        <item x="18"/>
        <item x="25"/>
        <item x="2"/>
        <item x="6"/>
        <item x="17"/>
        <item x="16"/>
        <item x="3"/>
        <item x="27"/>
        <item x="5"/>
        <item x="9"/>
        <item x="28"/>
        <item x="12"/>
        <item x="26"/>
        <item x="14"/>
        <item x="22"/>
        <item x="24"/>
        <item t="default"/>
      </items>
    </pivotField>
    <pivotField showAll="0">
      <items count="29">
        <item x="16"/>
        <item x="21"/>
        <item x="0"/>
        <item x="10"/>
        <item x="20"/>
        <item x="18"/>
        <item x="22"/>
        <item x="11"/>
        <item x="4"/>
        <item x="17"/>
        <item x="15"/>
        <item x="2"/>
        <item x="25"/>
        <item x="5"/>
        <item x="23"/>
        <item x="19"/>
        <item x="6"/>
        <item x="7"/>
        <item x="14"/>
        <item x="26"/>
        <item x="1"/>
        <item x="8"/>
        <item x="13"/>
        <item x="24"/>
        <item x="27"/>
        <item x="9"/>
        <item x="3"/>
        <item x="12"/>
        <item t="default"/>
      </items>
    </pivotField>
    <pivotField showAll="0">
      <items count="5">
        <item h="1" x="3"/>
        <item x="0"/>
        <item h="1" x="2"/>
        <item h="1" x="1"/>
        <item t="default"/>
      </items>
    </pivotField>
    <pivotField showAll="0">
      <items count="5">
        <item x="3"/>
        <item x="2"/>
        <item x="1"/>
        <item x="0"/>
        <item t="default"/>
      </items>
    </pivotField>
    <pivotField showAll="0">
      <items count="3">
        <item x="0"/>
        <item x="1"/>
        <item t="default"/>
      </items>
    </pivotField>
    <pivotField numFmtId="165" showAll="0"/>
    <pivotField numFmtId="165" showAll="0"/>
    <pivotField dataField="1" numFmtId="9"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Average of Profpt margin" fld="9" subtotal="average" baseField="0" baseItem="0" numFmtId="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C20FD06-1A5D-4810-AB01-AA0EB75A5A4E}" name="PivotTable16" cacheId="0"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56" rowHeaderCaption="Department">
  <location ref="I17:I18" firstHeaderRow="1" firstDataRow="1" firstDataCol="0"/>
  <pivotFields count="17">
    <pivotField numFmtId="1" showAll="0"/>
    <pivotField numFmtId="164" showAll="0">
      <items count="31">
        <item x="20"/>
        <item x="4"/>
        <item x="15"/>
        <item x="1"/>
        <item x="11"/>
        <item x="23"/>
        <item x="7"/>
        <item x="21"/>
        <item x="0"/>
        <item x="13"/>
        <item x="10"/>
        <item x="8"/>
        <item x="25"/>
        <item x="19"/>
        <item x="29"/>
        <item x="18"/>
        <item x="17"/>
        <item x="2"/>
        <item x="16"/>
        <item x="3"/>
        <item x="27"/>
        <item x="6"/>
        <item x="9"/>
        <item x="12"/>
        <item x="5"/>
        <item x="26"/>
        <item x="28"/>
        <item x="14"/>
        <item x="22"/>
        <item x="24"/>
        <item t="default"/>
      </items>
    </pivotField>
    <pivotField numFmtId="164" showAll="0">
      <items count="31">
        <item x="20"/>
        <item x="15"/>
        <item x="23"/>
        <item x="7"/>
        <item x="0"/>
        <item x="4"/>
        <item x="1"/>
        <item x="21"/>
        <item x="11"/>
        <item x="13"/>
        <item x="10"/>
        <item x="8"/>
        <item x="19"/>
        <item x="29"/>
        <item x="18"/>
        <item x="25"/>
        <item x="2"/>
        <item x="6"/>
        <item x="17"/>
        <item x="16"/>
        <item x="3"/>
        <item x="27"/>
        <item x="5"/>
        <item x="9"/>
        <item x="28"/>
        <item x="12"/>
        <item x="26"/>
        <item x="14"/>
        <item x="22"/>
        <item x="24"/>
        <item t="default"/>
      </items>
    </pivotField>
    <pivotField showAll="0">
      <items count="29">
        <item x="16"/>
        <item x="21"/>
        <item x="0"/>
        <item x="10"/>
        <item x="20"/>
        <item x="18"/>
        <item x="22"/>
        <item x="11"/>
        <item x="4"/>
        <item x="17"/>
        <item x="15"/>
        <item x="2"/>
        <item x="25"/>
        <item x="5"/>
        <item x="23"/>
        <item x="19"/>
        <item x="6"/>
        <item x="7"/>
        <item x="14"/>
        <item x="26"/>
        <item x="1"/>
        <item x="8"/>
        <item x="13"/>
        <item x="24"/>
        <item x="27"/>
        <item x="9"/>
        <item x="3"/>
        <item x="12"/>
        <item t="default"/>
      </items>
    </pivotField>
    <pivotField showAll="0">
      <items count="5">
        <item h="1" x="3"/>
        <item x="0"/>
        <item h="1" x="2"/>
        <item h="1" x="1"/>
        <item t="default"/>
      </items>
    </pivotField>
    <pivotField showAll="0">
      <items count="5">
        <item x="3"/>
        <item x="2"/>
        <item x="1"/>
        <item x="0"/>
        <item t="default"/>
      </items>
    </pivotField>
    <pivotField showAll="0">
      <items count="3">
        <item x="0"/>
        <item x="1"/>
        <item t="default"/>
      </items>
    </pivotField>
    <pivotField numFmtId="165" showAll="0"/>
    <pivotField dataField="1" numFmtId="165" showAll="0"/>
    <pivotField numFmtId="9"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Profit" fld="8"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75F4CB6-DDEF-4152-BBF5-907AE36FAB2D}" name="PivotTable17" cacheId="0"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56" rowHeaderCaption="Department">
  <location ref="I21:I22" firstHeaderRow="1" firstDataRow="1" firstDataCol="0"/>
  <pivotFields count="17">
    <pivotField dataField="1" numFmtId="1" showAll="0"/>
    <pivotField numFmtId="164" showAll="0">
      <items count="31">
        <item x="20"/>
        <item x="4"/>
        <item x="15"/>
        <item x="1"/>
        <item x="11"/>
        <item x="23"/>
        <item x="7"/>
        <item x="21"/>
        <item x="0"/>
        <item x="13"/>
        <item x="10"/>
        <item x="8"/>
        <item x="25"/>
        <item x="19"/>
        <item x="29"/>
        <item x="18"/>
        <item x="17"/>
        <item x="2"/>
        <item x="16"/>
        <item x="3"/>
        <item x="27"/>
        <item x="6"/>
        <item x="9"/>
        <item x="12"/>
        <item x="5"/>
        <item x="26"/>
        <item x="28"/>
        <item x="14"/>
        <item x="22"/>
        <item x="24"/>
        <item t="default"/>
      </items>
    </pivotField>
    <pivotField numFmtId="164" showAll="0">
      <items count="31">
        <item x="20"/>
        <item x="15"/>
        <item x="23"/>
        <item x="7"/>
        <item x="0"/>
        <item x="4"/>
        <item x="1"/>
        <item x="21"/>
        <item x="11"/>
        <item x="13"/>
        <item x="10"/>
        <item x="8"/>
        <item x="19"/>
        <item x="29"/>
        <item x="18"/>
        <item x="25"/>
        <item x="2"/>
        <item x="6"/>
        <item x="17"/>
        <item x="16"/>
        <item x="3"/>
        <item x="27"/>
        <item x="5"/>
        <item x="9"/>
        <item x="28"/>
        <item x="12"/>
        <item x="26"/>
        <item x="14"/>
        <item x="22"/>
        <item x="24"/>
        <item t="default"/>
      </items>
    </pivotField>
    <pivotField showAll="0">
      <items count="29">
        <item x="16"/>
        <item x="21"/>
        <item x="0"/>
        <item x="10"/>
        <item x="20"/>
        <item x="18"/>
        <item x="22"/>
        <item x="11"/>
        <item x="4"/>
        <item x="17"/>
        <item x="15"/>
        <item x="2"/>
        <item x="25"/>
        <item x="5"/>
        <item x="23"/>
        <item x="19"/>
        <item x="6"/>
        <item x="7"/>
        <item x="14"/>
        <item x="26"/>
        <item x="1"/>
        <item x="8"/>
        <item x="13"/>
        <item x="24"/>
        <item x="27"/>
        <item x="9"/>
        <item x="3"/>
        <item x="12"/>
        <item t="default"/>
      </items>
    </pivotField>
    <pivotField showAll="0">
      <items count="5">
        <item h="1" x="3"/>
        <item x="0"/>
        <item h="1" x="2"/>
        <item h="1" x="1"/>
        <item t="default"/>
      </items>
    </pivotField>
    <pivotField showAll="0">
      <items count="5">
        <item x="3"/>
        <item x="2"/>
        <item x="1"/>
        <item x="0"/>
        <item t="default"/>
      </items>
    </pivotField>
    <pivotField showAll="0">
      <items count="3">
        <item x="0"/>
        <item x="1"/>
        <item t="default"/>
      </items>
    </pivotField>
    <pivotField numFmtId="165" showAll="0"/>
    <pivotField numFmtId="165" showAll="0"/>
    <pivotField numFmtId="9"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TOTAL ORDER"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28BCA43-6F69-4543-9E07-9EDF8B2AE9C5}" name="PivotTable15" cacheId="0"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56" rowHeaderCaption="Department">
  <location ref="I13:I14" firstHeaderRow="1" firstDataRow="1" firstDataCol="0"/>
  <pivotFields count="17">
    <pivotField numFmtId="1" showAll="0"/>
    <pivotField numFmtId="164" showAll="0">
      <items count="31">
        <item x="20"/>
        <item x="4"/>
        <item x="15"/>
        <item x="1"/>
        <item x="11"/>
        <item x="23"/>
        <item x="7"/>
        <item x="21"/>
        <item x="0"/>
        <item x="13"/>
        <item x="10"/>
        <item x="8"/>
        <item x="25"/>
        <item x="19"/>
        <item x="29"/>
        <item x="18"/>
        <item x="17"/>
        <item x="2"/>
        <item x="16"/>
        <item x="3"/>
        <item x="27"/>
        <item x="6"/>
        <item x="9"/>
        <item x="12"/>
        <item x="5"/>
        <item x="26"/>
        <item x="28"/>
        <item x="14"/>
        <item x="22"/>
        <item x="24"/>
        <item t="default"/>
      </items>
    </pivotField>
    <pivotField numFmtId="164" showAll="0">
      <items count="31">
        <item x="20"/>
        <item x="15"/>
        <item x="23"/>
        <item x="7"/>
        <item x="0"/>
        <item x="4"/>
        <item x="1"/>
        <item x="21"/>
        <item x="11"/>
        <item x="13"/>
        <item x="10"/>
        <item x="8"/>
        <item x="19"/>
        <item x="29"/>
        <item x="18"/>
        <item x="25"/>
        <item x="2"/>
        <item x="6"/>
        <item x="17"/>
        <item x="16"/>
        <item x="3"/>
        <item x="27"/>
        <item x="5"/>
        <item x="9"/>
        <item x="28"/>
        <item x="12"/>
        <item x="26"/>
        <item x="14"/>
        <item x="22"/>
        <item x="24"/>
        <item t="default"/>
      </items>
    </pivotField>
    <pivotField showAll="0">
      <items count="29">
        <item x="16"/>
        <item x="21"/>
        <item x="0"/>
        <item x="10"/>
        <item x="20"/>
        <item x="18"/>
        <item x="22"/>
        <item x="11"/>
        <item x="4"/>
        <item x="17"/>
        <item x="15"/>
        <item x="2"/>
        <item x="25"/>
        <item x="5"/>
        <item x="23"/>
        <item x="19"/>
        <item x="6"/>
        <item x="7"/>
        <item x="14"/>
        <item x="26"/>
        <item x="1"/>
        <item x="8"/>
        <item x="13"/>
        <item x="24"/>
        <item x="27"/>
        <item x="9"/>
        <item x="3"/>
        <item x="12"/>
        <item t="default"/>
      </items>
    </pivotField>
    <pivotField showAll="0">
      <items count="5">
        <item h="1" x="3"/>
        <item x="0"/>
        <item h="1" x="2"/>
        <item h="1" x="1"/>
        <item t="default"/>
      </items>
    </pivotField>
    <pivotField showAll="0">
      <items count="5">
        <item x="3"/>
        <item x="2"/>
        <item x="1"/>
        <item x="0"/>
        <item t="default"/>
      </items>
    </pivotField>
    <pivotField showAll="0">
      <items count="3">
        <item x="0"/>
        <item x="1"/>
        <item t="default"/>
      </items>
    </pivotField>
    <pivotField dataField="1" numFmtId="165" showAll="0"/>
    <pivotField numFmtId="165" showAll="0"/>
    <pivotField numFmtId="9"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Revenue" fld="7"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58C61F1-F45D-4111-BD12-907CBA179563}"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8" rowHeaderCaption="Department">
  <location ref="A4:C6" firstHeaderRow="0" firstDataRow="1" firstDataCol="1"/>
  <pivotFields count="17">
    <pivotField numFmtId="1" showAll="0"/>
    <pivotField numFmtId="164" showAll="0">
      <items count="31">
        <item x="20"/>
        <item x="4"/>
        <item x="15"/>
        <item x="1"/>
        <item x="11"/>
        <item x="23"/>
        <item x="7"/>
        <item x="21"/>
        <item x="0"/>
        <item x="13"/>
        <item x="10"/>
        <item x="8"/>
        <item x="25"/>
        <item x="19"/>
        <item x="29"/>
        <item x="18"/>
        <item x="17"/>
        <item x="2"/>
        <item x="16"/>
        <item x="3"/>
        <item x="27"/>
        <item x="6"/>
        <item x="9"/>
        <item x="12"/>
        <item x="5"/>
        <item x="26"/>
        <item x="28"/>
        <item x="14"/>
        <item x="22"/>
        <item x="24"/>
        <item t="default"/>
      </items>
    </pivotField>
    <pivotField numFmtId="164" showAll="0">
      <items count="31">
        <item x="20"/>
        <item x="15"/>
        <item x="23"/>
        <item x="7"/>
        <item x="0"/>
        <item x="4"/>
        <item x="1"/>
        <item x="21"/>
        <item x="11"/>
        <item x="13"/>
        <item x="10"/>
        <item x="8"/>
        <item x="19"/>
        <item x="29"/>
        <item x="18"/>
        <item x="25"/>
        <item x="2"/>
        <item x="6"/>
        <item x="17"/>
        <item x="16"/>
        <item x="3"/>
        <item x="27"/>
        <item x="5"/>
        <item x="9"/>
        <item x="28"/>
        <item x="12"/>
        <item x="26"/>
        <item x="14"/>
        <item x="22"/>
        <item x="24"/>
        <item t="default"/>
      </items>
    </pivotField>
    <pivotField showAll="0">
      <items count="29">
        <item x="16"/>
        <item x="21"/>
        <item x="0"/>
        <item x="10"/>
        <item x="20"/>
        <item x="18"/>
        <item x="22"/>
        <item x="11"/>
        <item x="4"/>
        <item x="17"/>
        <item x="15"/>
        <item x="2"/>
        <item x="25"/>
        <item x="5"/>
        <item x="23"/>
        <item x="19"/>
        <item x="6"/>
        <item x="7"/>
        <item x="14"/>
        <item x="26"/>
        <item x="1"/>
        <item x="8"/>
        <item x="13"/>
        <item x="24"/>
        <item x="27"/>
        <item x="9"/>
        <item x="3"/>
        <item x="12"/>
        <item t="default"/>
      </items>
    </pivotField>
    <pivotField axis="axisRow" showAll="0">
      <items count="5">
        <item h="1" x="3"/>
        <item x="0"/>
        <item h="1" x="2"/>
        <item h="1" x="1"/>
        <item t="default"/>
      </items>
    </pivotField>
    <pivotField showAll="0">
      <items count="5">
        <item x="3"/>
        <item x="2"/>
        <item x="1"/>
        <item x="0"/>
        <item t="default"/>
      </items>
    </pivotField>
    <pivotField showAll="0">
      <items count="3">
        <item x="0"/>
        <item x="1"/>
        <item t="default"/>
      </items>
    </pivotField>
    <pivotField dataField="1" numFmtId="165" showAll="0"/>
    <pivotField dataField="1" numFmtId="165" showAll="0"/>
    <pivotField numFmtId="9"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4"/>
  </rowFields>
  <rowItems count="2">
    <i>
      <x v="1"/>
    </i>
    <i t="grand">
      <x/>
    </i>
  </rowItems>
  <colFields count="1">
    <field x="-2"/>
  </colFields>
  <colItems count="2">
    <i>
      <x/>
    </i>
    <i i="1">
      <x v="1"/>
    </i>
  </colItems>
  <dataFields count="2">
    <dataField name="Revenue" fld="7" baseField="0" baseItem="0" numFmtId="165"/>
    <dataField name="Profit" fld="8" baseField="0" baseItem="0" numFmtId="165"/>
  </dataFields>
  <chartFormats count="2">
    <chartFormat chart="37" format="4" series="1">
      <pivotArea type="data" outline="0" fieldPosition="0">
        <references count="1">
          <reference field="4294967294" count="1" selected="0">
            <x v="0"/>
          </reference>
        </references>
      </pivotArea>
    </chartFormat>
    <chartFormat chart="37"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AE33105-12D3-40D9-AFD5-FA36273FE806}" name="PivotTable2" cacheId="0"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17" rowHeaderCaption="order &amp;p type">
  <location ref="E11:G26" firstHeaderRow="0" firstDataRow="1" firstDataCol="1"/>
  <pivotFields count="17">
    <pivotField numFmtId="1" showAll="0"/>
    <pivotField axis="axisRow" numFmtId="164" showAll="0">
      <items count="31">
        <item x="20"/>
        <item x="4"/>
        <item x="15"/>
        <item x="1"/>
        <item x="11"/>
        <item x="23"/>
        <item x="7"/>
        <item x="21"/>
        <item x="0"/>
        <item x="13"/>
        <item x="10"/>
        <item x="8"/>
        <item x="25"/>
        <item x="19"/>
        <item x="29"/>
        <item x="18"/>
        <item x="17"/>
        <item x="2"/>
        <item x="16"/>
        <item x="3"/>
        <item x="27"/>
        <item x="6"/>
        <item x="9"/>
        <item x="12"/>
        <item x="5"/>
        <item x="26"/>
        <item x="28"/>
        <item x="14"/>
        <item x="22"/>
        <item x="24"/>
        <item t="default"/>
      </items>
    </pivotField>
    <pivotField numFmtId="164" showAll="0">
      <items count="31">
        <item x="20"/>
        <item x="15"/>
        <item x="23"/>
        <item x="7"/>
        <item x="0"/>
        <item x="4"/>
        <item x="1"/>
        <item x="21"/>
        <item x="11"/>
        <item x="13"/>
        <item x="10"/>
        <item x="8"/>
        <item x="19"/>
        <item x="29"/>
        <item x="18"/>
        <item x="25"/>
        <item x="2"/>
        <item x="6"/>
        <item x="17"/>
        <item x="16"/>
        <item x="3"/>
        <item x="27"/>
        <item x="5"/>
        <item x="9"/>
        <item x="28"/>
        <item x="12"/>
        <item x="26"/>
        <item x="14"/>
        <item x="22"/>
        <item x="24"/>
        <item t="default"/>
      </items>
    </pivotField>
    <pivotField showAll="0">
      <items count="29">
        <item x="16"/>
        <item x="21"/>
        <item x="0"/>
        <item x="10"/>
        <item x="20"/>
        <item x="18"/>
        <item x="22"/>
        <item x="11"/>
        <item x="4"/>
        <item x="17"/>
        <item x="15"/>
        <item x="2"/>
        <item x="25"/>
        <item x="5"/>
        <item x="23"/>
        <item x="19"/>
        <item x="6"/>
        <item x="7"/>
        <item x="14"/>
        <item x="26"/>
        <item x="1"/>
        <item x="8"/>
        <item x="13"/>
        <item x="24"/>
        <item x="27"/>
        <item x="9"/>
        <item x="3"/>
        <item x="12"/>
        <item t="default"/>
      </items>
    </pivotField>
    <pivotField showAll="0">
      <items count="5">
        <item h="1" x="3"/>
        <item x="0"/>
        <item h="1" x="2"/>
        <item h="1" x="1"/>
        <item t="default"/>
      </items>
    </pivotField>
    <pivotField showAll="0">
      <items count="5">
        <item x="3"/>
        <item x="2"/>
        <item x="1"/>
        <item x="0"/>
        <item t="default"/>
      </items>
    </pivotField>
    <pivotField axis="axisRow" showAll="0">
      <items count="3">
        <item x="0"/>
        <item x="1"/>
        <item t="default"/>
      </items>
    </pivotField>
    <pivotField dataField="1" numFmtId="165" showAll="0"/>
    <pivotField numFmtId="165" showAll="0"/>
    <pivotField numFmtId="9"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2">
    <field x="1"/>
    <field x="6"/>
  </rowFields>
  <rowItems count="15">
    <i>
      <x v="6"/>
    </i>
    <i r="1">
      <x v="1"/>
    </i>
    <i>
      <x v="8"/>
    </i>
    <i r="1">
      <x/>
    </i>
    <i>
      <x v="10"/>
    </i>
    <i r="1">
      <x v="1"/>
    </i>
    <i>
      <x v="11"/>
    </i>
    <i r="1">
      <x v="1"/>
    </i>
    <i>
      <x v="21"/>
    </i>
    <i r="1">
      <x/>
    </i>
    <i>
      <x v="22"/>
    </i>
    <i r="1">
      <x v="1"/>
    </i>
    <i>
      <x v="24"/>
    </i>
    <i r="1">
      <x v="1"/>
    </i>
    <i t="grand">
      <x/>
    </i>
  </rowItems>
  <colFields count="1">
    <field x="-2"/>
  </colFields>
  <colItems count="2">
    <i>
      <x/>
    </i>
    <i i="1">
      <x v="1"/>
    </i>
  </colItems>
  <dataFields count="2">
    <dataField name="days before delivery" fld="10" subtotal="average" baseField="0" baseItem="0"/>
    <dataField name="Revenue" fld="7" baseField="0" baseItem="0" numFmtId="165"/>
  </dataFields>
  <chartFormats count="2">
    <chartFormat chart="15" format="4" series="1">
      <pivotArea type="data" outline="0" fieldPosition="0">
        <references count="1">
          <reference field="4294967294" count="1" selected="0">
            <x v="0"/>
          </reference>
        </references>
      </pivotArea>
    </chartFormat>
    <chartFormat chart="1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1F13A8E-3F44-4E3D-8932-D2993427051B}" name="PivotTable3" cacheId="0"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31" rowHeaderCaption="Order date">
  <location ref="A9:C17" firstHeaderRow="0" firstDataRow="1" firstDataCol="1"/>
  <pivotFields count="17">
    <pivotField numFmtId="1" showAll="0"/>
    <pivotField axis="axisRow" numFmtId="164" showAll="0">
      <items count="31">
        <item x="20"/>
        <item x="4"/>
        <item x="15"/>
        <item x="1"/>
        <item x="11"/>
        <item x="23"/>
        <item x="7"/>
        <item x="21"/>
        <item x="0"/>
        <item x="13"/>
        <item x="10"/>
        <item x="8"/>
        <item x="25"/>
        <item x="19"/>
        <item x="29"/>
        <item x="18"/>
        <item x="17"/>
        <item x="2"/>
        <item x="16"/>
        <item x="3"/>
        <item x="27"/>
        <item x="6"/>
        <item x="9"/>
        <item x="12"/>
        <item x="5"/>
        <item x="26"/>
        <item x="28"/>
        <item x="14"/>
        <item x="22"/>
        <item x="24"/>
        <item t="default"/>
      </items>
    </pivotField>
    <pivotField numFmtId="164" showAll="0">
      <items count="31">
        <item x="20"/>
        <item x="15"/>
        <item x="23"/>
        <item x="7"/>
        <item x="0"/>
        <item x="4"/>
        <item x="1"/>
        <item x="21"/>
        <item x="11"/>
        <item x="13"/>
        <item x="10"/>
        <item x="8"/>
        <item x="19"/>
        <item x="29"/>
        <item x="18"/>
        <item x="25"/>
        <item x="2"/>
        <item x="6"/>
        <item x="17"/>
        <item x="16"/>
        <item x="3"/>
        <item x="27"/>
        <item x="5"/>
        <item x="9"/>
        <item x="28"/>
        <item x="12"/>
        <item x="26"/>
        <item x="14"/>
        <item x="22"/>
        <item x="24"/>
        <item t="default"/>
      </items>
    </pivotField>
    <pivotField showAll="0">
      <items count="29">
        <item x="16"/>
        <item x="21"/>
        <item x="0"/>
        <item x="10"/>
        <item x="20"/>
        <item x="18"/>
        <item x="22"/>
        <item x="11"/>
        <item x="4"/>
        <item x="17"/>
        <item x="15"/>
        <item x="2"/>
        <item x="25"/>
        <item x="5"/>
        <item x="23"/>
        <item x="19"/>
        <item x="6"/>
        <item x="7"/>
        <item x="14"/>
        <item x="26"/>
        <item x="1"/>
        <item x="8"/>
        <item x="13"/>
        <item x="24"/>
        <item x="27"/>
        <item x="9"/>
        <item x="3"/>
        <item x="12"/>
        <item t="default"/>
      </items>
    </pivotField>
    <pivotField showAll="0">
      <items count="5">
        <item h="1" x="3"/>
        <item x="0"/>
        <item h="1" x="2"/>
        <item h="1" x="1"/>
        <item t="default"/>
      </items>
    </pivotField>
    <pivotField showAll="0">
      <items count="5">
        <item x="3"/>
        <item x="2"/>
        <item x="1"/>
        <item x="0"/>
        <item t="default"/>
      </items>
    </pivotField>
    <pivotField showAll="0">
      <items count="3">
        <item x="0"/>
        <item x="1"/>
        <item t="default"/>
      </items>
    </pivotField>
    <pivotField numFmtId="165" showAll="0"/>
    <pivotField dataField="1" numFmtId="165" showAll="0"/>
    <pivotField dataField="1" numFmtId="9"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
  </rowFields>
  <rowItems count="8">
    <i>
      <x v="6"/>
    </i>
    <i>
      <x v="8"/>
    </i>
    <i>
      <x v="10"/>
    </i>
    <i>
      <x v="11"/>
    </i>
    <i>
      <x v="21"/>
    </i>
    <i>
      <x v="22"/>
    </i>
    <i>
      <x v="24"/>
    </i>
    <i t="grand">
      <x/>
    </i>
  </rowItems>
  <colFields count="1">
    <field x="-2"/>
  </colFields>
  <colItems count="2">
    <i>
      <x/>
    </i>
    <i i="1">
      <x v="1"/>
    </i>
  </colItems>
  <dataFields count="2">
    <dataField name="profit" fld="8" baseField="0" baseItem="0" numFmtId="165"/>
    <dataField name="Profit margin" fld="9" subtotal="average" baseField="0" baseItem="0" numFmtId="9"/>
  </dataFields>
  <chartFormats count="2">
    <chartFormat chart="22" format="4" series="1">
      <pivotArea type="data" outline="0" fieldPosition="0">
        <references count="1">
          <reference field="4294967294" count="1" selected="0">
            <x v="0"/>
          </reference>
        </references>
      </pivotArea>
    </chartFormat>
    <chartFormat chart="2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ame" xr10:uid="{3A4D39AB-AC31-435B-AEA0-CA034DF392F6}" sourceName="Name">
  <pivotTables>
    <pivotTable tabId="6" name="PivotTable13"/>
    <pivotTable tabId="6" name="PivotTable12"/>
    <pivotTable tabId="6" name="PivotTable14"/>
    <pivotTable tabId="6" name="PivotTable15"/>
    <pivotTable tabId="6" name="PivotTable16"/>
    <pivotTable tabId="6" name="PivotTable17"/>
    <pivotTable tabId="6" name="PivotTable18"/>
    <pivotTable tabId="6" name="PivotTable2"/>
    <pivotTable tabId="6" name="PivotTable3"/>
    <pivotTable tabId="6" name="PivotTable4"/>
    <pivotTable tabId="6" name="PivotTable5"/>
    <pivotTable tabId="6" name="PivotTable6"/>
  </pivotTables>
  <data>
    <tabular pivotCacheId="1419643402">
      <items count="28">
        <i x="0" s="1"/>
        <i x="10" s="1"/>
        <i x="5" s="1"/>
        <i x="6" s="1"/>
        <i x="7" s="1"/>
        <i x="8" s="1"/>
        <i x="9" s="1"/>
        <i x="16" s="1" nd="1"/>
        <i x="21" s="1" nd="1"/>
        <i x="20" s="1" nd="1"/>
        <i x="18" s="1" nd="1"/>
        <i x="22" s="1" nd="1"/>
        <i x="11" s="1" nd="1"/>
        <i x="4" s="1" nd="1"/>
        <i x="17" s="1" nd="1"/>
        <i x="15" s="1" nd="1"/>
        <i x="2" s="1" nd="1"/>
        <i x="25" s="1" nd="1"/>
        <i x="23" s="1" nd="1"/>
        <i x="19" s="1" nd="1"/>
        <i x="14" s="1" nd="1"/>
        <i x="26" s="1" nd="1"/>
        <i x="1" s="1" nd="1"/>
        <i x="13" s="1" nd="1"/>
        <i x="24" s="1" nd="1"/>
        <i x="27" s="1" nd="1"/>
        <i x="3" s="1" nd="1"/>
        <i x="12"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5618FE7-9055-448B-8923-5C8D2C2C8256}" sourceName="Region">
  <pivotTables>
    <pivotTable tabId="6" name="PivotTable13"/>
    <pivotTable tabId="6" name="PivotTable12"/>
    <pivotTable tabId="6" name="PivotTable14"/>
    <pivotTable tabId="6" name="PivotTable15"/>
    <pivotTable tabId="6" name="PivotTable16"/>
    <pivotTable tabId="6" name="PivotTable17"/>
    <pivotTable tabId="6" name="PivotTable18"/>
    <pivotTable tabId="6" name="PivotTable2"/>
    <pivotTable tabId="6" name="PivotTable3"/>
    <pivotTable tabId="6" name="PivotTable4"/>
    <pivotTable tabId="6" name="PivotTable5"/>
    <pivotTable tabId="6" name="PivotTable6"/>
  </pivotTables>
  <data>
    <tabular pivotCacheId="1419643402">
      <items count="4">
        <i x="0" s="1"/>
        <i x="3" s="1" nd="1"/>
        <i x="2" s="1" nd="1"/>
        <i x="1"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F5F18EA9-E968-4740-BB6F-1AE51989CEC6}" sourceName="Department">
  <pivotTables>
    <pivotTable tabId="6" name="PivotTable13"/>
    <pivotTable tabId="6" name="PivotTable12"/>
    <pivotTable tabId="6" name="PivotTable14"/>
    <pivotTable tabId="6" name="PivotTable15"/>
    <pivotTable tabId="6" name="PivotTable16"/>
    <pivotTable tabId="6" name="PivotTable17"/>
    <pivotTable tabId="6" name="PivotTable18"/>
    <pivotTable tabId="6" name="PivotTable2"/>
    <pivotTable tabId="6" name="PivotTable3"/>
    <pivotTable tabId="6" name="PivotTable4"/>
    <pivotTable tabId="6" name="PivotTable5"/>
    <pivotTable tabId="6" name="PivotTable6"/>
  </pivotTables>
  <data>
    <tabular pivotCacheId="1419643402">
      <items count="4">
        <i x="3"/>
        <i x="0" s="1"/>
        <i x="2"/>
        <i x="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Type" xr10:uid="{F23FC387-9F8D-412B-AAAD-88BE33CBC5F7}" sourceName="Payment Type">
  <pivotTables>
    <pivotTable tabId="6" name="PivotTable13"/>
    <pivotTable tabId="6" name="PivotTable12"/>
    <pivotTable tabId="6" name="PivotTable14"/>
    <pivotTable tabId="6" name="PivotTable15"/>
    <pivotTable tabId="6" name="PivotTable16"/>
    <pivotTable tabId="6" name="PivotTable17"/>
    <pivotTable tabId="6" name="PivotTable18"/>
    <pivotTable tabId="6" name="PivotTable2"/>
    <pivotTable tabId="6" name="PivotTable3"/>
    <pivotTable tabId="6" name="PivotTable4"/>
    <pivotTable tabId="6" name="PivotTable5"/>
    <pivotTable tabId="6" name="PivotTable6"/>
  </pivotTables>
  <data>
    <tabular pivotCacheId="1419643402">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Name" xr10:uid="{F7674EEC-42CE-4504-B240-02A7CF1CF5D5}" cache="Slicer_Name" caption="Name" columnCount="6" rowHeight="241300"/>
  <slicer name="Region" xr10:uid="{191688AD-4077-435F-B031-F6DDE83FC2D2}" cache="Slicer_Region" caption="Region" rowHeight="241300"/>
  <slicer name="Department" xr10:uid="{67D9E729-1FBD-45A7-9392-608E8845B9C4}" cache="Slicer_Department" caption="Department" startItem="1" rowHeight="241300"/>
  <slicer name="Payment Type" xr10:uid="{193C8BD9-49A0-4EA5-BF14-E37E4FB88CD7}" cache="Slicer_Payment_Type" caption="Payment Typ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3CE6FD1-91BD-4DF8-822D-C1A3E9B51B2F}" name="Table1" displayName="Table1" ref="A1:K36" headerRowDxfId="22" dataDxfId="21">
  <autoFilter ref="A1:K36" xr:uid="{B3CE6FD1-91BD-4DF8-822D-C1A3E9B51B2F}"/>
  <sortState xmlns:xlrd2="http://schemas.microsoft.com/office/spreadsheetml/2017/richdata2" ref="A2:K36">
    <sortCondition ref="B1:B36"/>
  </sortState>
  <tableColumns count="11">
    <tableColumn id="1" xr3:uid="{CDB797D6-57B9-4171-AF0C-E9B58EDF0AB7}" name="Order ID" totalsRowLabel="Total" dataDxfId="20" totalsRowDxfId="19"/>
    <tableColumn id="2" xr3:uid="{39F9F322-9B4F-46F6-9535-30503DE57EAF}" name="Order Date" dataDxfId="18" totalsRowDxfId="17"/>
    <tableColumn id="3" xr3:uid="{19A74453-FDCF-41DD-AD52-45F3BA18039E}" name="Arrival Date" dataDxfId="16" totalsRowDxfId="15"/>
    <tableColumn id="10" xr3:uid="{844B5120-62A5-4468-9C6D-3C54DC32A858}" name="Name" dataDxfId="14" totalsRowDxfId="13"/>
    <tableColumn id="5" xr3:uid="{15F8B21D-3441-42AB-884B-B3D71419515E}" name="Department" dataDxfId="12" totalsRowDxfId="11"/>
    <tableColumn id="6" xr3:uid="{11AD6A1F-CC7C-442F-AF78-A106B7D4FA4E}" name="Region" dataDxfId="10" totalsRowDxfId="9"/>
    <tableColumn id="7" xr3:uid="{B3A45FAF-E5BC-40FC-B565-9B055EF8D549}" name="Payment Type" dataDxfId="8" totalsRowDxfId="7"/>
    <tableColumn id="8" xr3:uid="{DA25000E-A3EF-46FB-ACD7-83625CA21442}" name="Revenue" dataDxfId="6" totalsRowDxfId="5"/>
    <tableColumn id="9" xr3:uid="{718A0455-999D-4EFC-AE57-8F033BF6FC2A}" name="Profit" dataDxfId="4" totalsRowDxfId="3"/>
    <tableColumn id="4" xr3:uid="{C13A26DB-6E5C-4FC0-897B-F57E0CDBDCEA}" name="Profpt margin" totalsRowFunction="sum" dataDxfId="2" totalsRowDxfId="1" dataCellStyle="Percent">
      <calculatedColumnFormula>Table1[[#This Row],[Profit]]/Table1[[#This Row],[Revenue]]</calculatedColumnFormula>
    </tableColumn>
    <tableColumn id="11" xr3:uid="{5019893E-4EA3-4AAB-9551-63473217495F}" name="Delivery days" dataDxfId="0">
      <calculatedColumnFormula>Table1[[#This Row],[Arrival Date]]-Table1[[#This Row],[Order Date]]</calculatedColumnFormula>
    </tableColumn>
  </tableColumns>
  <tableStyleInfo name="TableStyleMedium11" showFirstColumn="0" showLastColumn="0" showRowStripes="0"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8FE029CF-092D-45D6-B9CC-D9CE5AD7C62B}" sourceName="Order Date">
  <pivotTables>
    <pivotTable tabId="6" name="PivotTable13"/>
    <pivotTable tabId="6" name="PivotTable12"/>
    <pivotTable tabId="6" name="PivotTable14"/>
    <pivotTable tabId="6" name="PivotTable15"/>
    <pivotTable tabId="6" name="PivotTable16"/>
    <pivotTable tabId="6" name="PivotTable17"/>
    <pivotTable tabId="6" name="PivotTable18"/>
    <pivotTable tabId="6" name="PivotTable2"/>
    <pivotTable tabId="6" name="PivotTable3"/>
    <pivotTable tabId="6" name="PivotTable4"/>
    <pivotTable tabId="6" name="PivotTable5"/>
    <pivotTable tabId="6" name="PivotTable6"/>
  </pivotTables>
  <state minimalRefreshVersion="6" lastRefreshVersion="6" pivotCacheId="1419643402" filterType="unknown">
    <bounds startDate="2023-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2DE7B6E7-91C4-4C71-83C4-D3DD76B6584B}" cache="NativeTimeline_Order_Date" caption="Order Date" level="3" selectionLevel="3" scrollPosition="2023-12-28T00:00:00"/>
</timelines>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3A3C3-206A-4B20-948E-6D3EC5DE35D2}">
  <dimension ref="A3:N41"/>
  <sheetViews>
    <sheetView workbookViewId="0">
      <selection activeCell="D27" sqref="D27"/>
    </sheetView>
  </sheetViews>
  <sheetFormatPr defaultRowHeight="14.5" x14ac:dyDescent="0.35"/>
  <cols>
    <col min="1" max="1" width="13.36328125" bestFit="1" customWidth="1"/>
    <col min="2" max="3" width="9.1796875" bestFit="1" customWidth="1"/>
    <col min="4" max="4" width="12.36328125" bestFit="1" customWidth="1"/>
    <col min="5" max="5" width="17.7265625" bestFit="1" customWidth="1"/>
    <col min="6" max="7" width="9.1796875" bestFit="1" customWidth="1"/>
    <col min="8" max="8" width="13.54296875" customWidth="1"/>
    <col min="9" max="9" width="25.1796875" bestFit="1" customWidth="1"/>
    <col min="10" max="10" width="9.1796875" bestFit="1" customWidth="1"/>
    <col min="11" max="11" width="8.1796875" bestFit="1" customWidth="1"/>
    <col min="12" max="12" width="25.1796875" bestFit="1" customWidth="1"/>
    <col min="13" max="14" width="9.1796875" bestFit="1" customWidth="1"/>
    <col min="15" max="15" width="14.36328125" bestFit="1" customWidth="1"/>
  </cols>
  <sheetData>
    <row r="3" spans="1:14" x14ac:dyDescent="0.35">
      <c r="A3" s="19" t="s">
        <v>59</v>
      </c>
      <c r="B3" s="19"/>
      <c r="C3" s="19"/>
      <c r="E3" s="19" t="s">
        <v>61</v>
      </c>
      <c r="F3" s="19"/>
      <c r="I3" s="19" t="s">
        <v>62</v>
      </c>
      <c r="J3" s="19"/>
      <c r="L3" s="16" t="s">
        <v>63</v>
      </c>
      <c r="M3" s="16"/>
      <c r="N3" s="16"/>
    </row>
    <row r="4" spans="1:14" x14ac:dyDescent="0.35">
      <c r="A4" s="5" t="s">
        <v>4</v>
      </c>
      <c r="B4" t="s">
        <v>7</v>
      </c>
      <c r="C4" t="s">
        <v>8</v>
      </c>
      <c r="E4" s="5" t="s">
        <v>60</v>
      </c>
      <c r="F4" t="s">
        <v>7</v>
      </c>
      <c r="I4" s="5" t="s">
        <v>4</v>
      </c>
      <c r="J4" t="s">
        <v>51</v>
      </c>
      <c r="L4" s="5" t="s">
        <v>57</v>
      </c>
      <c r="M4" t="s">
        <v>7</v>
      </c>
      <c r="N4" t="s">
        <v>8</v>
      </c>
    </row>
    <row r="5" spans="1:14" x14ac:dyDescent="0.35">
      <c r="A5" s="6" t="s">
        <v>10</v>
      </c>
      <c r="B5" s="7">
        <v>280945</v>
      </c>
      <c r="C5" s="7">
        <v>133293.29999999999</v>
      </c>
      <c r="E5" s="6" t="s">
        <v>12</v>
      </c>
      <c r="F5" s="7">
        <v>113255</v>
      </c>
      <c r="I5" s="6" t="s">
        <v>10</v>
      </c>
      <c r="J5" s="13">
        <v>0.4832939626156153</v>
      </c>
      <c r="L5" s="6" t="s">
        <v>9</v>
      </c>
      <c r="M5" s="7">
        <v>42845</v>
      </c>
      <c r="N5" s="7">
        <v>8846</v>
      </c>
    </row>
    <row r="6" spans="1:14" x14ac:dyDescent="0.35">
      <c r="A6" s="6" t="s">
        <v>47</v>
      </c>
      <c r="B6" s="7">
        <v>280945</v>
      </c>
      <c r="C6" s="7">
        <v>133293.29999999999</v>
      </c>
      <c r="E6" s="6" t="s">
        <v>21</v>
      </c>
      <c r="F6" s="7">
        <v>167690</v>
      </c>
      <c r="I6" s="6" t="s">
        <v>47</v>
      </c>
      <c r="J6" s="13">
        <v>0.4832939626156153</v>
      </c>
      <c r="L6" s="6" t="s">
        <v>27</v>
      </c>
      <c r="M6" s="7">
        <v>38608</v>
      </c>
      <c r="N6" s="7">
        <v>7721.6</v>
      </c>
    </row>
    <row r="7" spans="1:14" x14ac:dyDescent="0.35">
      <c r="E7" s="6" t="s">
        <v>47</v>
      </c>
      <c r="F7" s="7">
        <v>280945</v>
      </c>
      <c r="G7" t="s">
        <v>55</v>
      </c>
      <c r="L7" s="6" t="s">
        <v>22</v>
      </c>
      <c r="M7" s="7">
        <v>35036</v>
      </c>
      <c r="N7" s="7">
        <v>9788</v>
      </c>
    </row>
    <row r="8" spans="1:14" x14ac:dyDescent="0.35">
      <c r="L8" s="6" t="s">
        <v>23</v>
      </c>
      <c r="M8" s="7">
        <v>70410</v>
      </c>
      <c r="N8" s="7">
        <v>49152.5</v>
      </c>
    </row>
    <row r="9" spans="1:14" x14ac:dyDescent="0.35">
      <c r="A9" s="5" t="s">
        <v>54</v>
      </c>
      <c r="B9" t="s">
        <v>72</v>
      </c>
      <c r="C9" t="s">
        <v>51</v>
      </c>
      <c r="L9" s="6" t="s">
        <v>24</v>
      </c>
      <c r="M9" s="7">
        <v>42246</v>
      </c>
      <c r="N9" s="7">
        <v>29572.199999999997</v>
      </c>
    </row>
    <row r="10" spans="1:14" x14ac:dyDescent="0.35">
      <c r="A10" s="11">
        <v>45325</v>
      </c>
      <c r="B10" s="7">
        <v>29572.199999999997</v>
      </c>
      <c r="C10" s="13">
        <v>0.7</v>
      </c>
      <c r="E10" s="19" t="s">
        <v>58</v>
      </c>
      <c r="F10" s="19"/>
      <c r="G10" s="19"/>
      <c r="H10" s="16"/>
      <c r="L10" s="6" t="s">
        <v>25</v>
      </c>
      <c r="M10" s="7">
        <v>36906</v>
      </c>
      <c r="N10" s="7">
        <v>20225</v>
      </c>
    </row>
    <row r="11" spans="1:14" x14ac:dyDescent="0.35">
      <c r="A11" s="11">
        <v>45359</v>
      </c>
      <c r="B11" s="7">
        <v>8846</v>
      </c>
      <c r="C11" s="13">
        <v>0.2064651651301202</v>
      </c>
      <c r="E11" s="5" t="s">
        <v>69</v>
      </c>
      <c r="F11" t="s">
        <v>70</v>
      </c>
      <c r="G11" t="s">
        <v>7</v>
      </c>
      <c r="I11" s="16" t="s">
        <v>68</v>
      </c>
      <c r="L11" s="6" t="s">
        <v>26</v>
      </c>
      <c r="M11" s="7">
        <v>14894</v>
      </c>
      <c r="N11" s="7">
        <v>7988</v>
      </c>
    </row>
    <row r="12" spans="1:14" ht="14.5" customHeight="1" x14ac:dyDescent="0.35">
      <c r="A12" s="11">
        <v>45386</v>
      </c>
      <c r="B12" s="7">
        <v>7721.6</v>
      </c>
      <c r="C12" s="13">
        <v>0.2</v>
      </c>
      <c r="E12" s="11">
        <v>45325</v>
      </c>
      <c r="F12" s="20">
        <v>30</v>
      </c>
      <c r="G12" s="7">
        <v>42246</v>
      </c>
      <c r="H12" s="7"/>
      <c r="I12" s="16" t="s">
        <v>64</v>
      </c>
      <c r="J12" s="16"/>
      <c r="L12" s="6" t="s">
        <v>47</v>
      </c>
      <c r="M12" s="7">
        <v>280945</v>
      </c>
      <c r="N12" s="7">
        <v>133293.29999999999</v>
      </c>
    </row>
    <row r="13" spans="1:14" ht="14.5" customHeight="1" x14ac:dyDescent="0.35">
      <c r="A13" s="11">
        <v>45390</v>
      </c>
      <c r="B13" s="7">
        <v>20225</v>
      </c>
      <c r="C13" s="13">
        <v>0.54801387308296756</v>
      </c>
      <c r="E13" s="12" t="s">
        <v>21</v>
      </c>
      <c r="F13" s="20">
        <v>30</v>
      </c>
      <c r="G13" s="7">
        <v>42246</v>
      </c>
      <c r="H13" s="7"/>
      <c r="I13" t="s">
        <v>7</v>
      </c>
      <c r="J13" s="18">
        <f>GETPIVOTDATA("Revenue",$I$13)</f>
        <v>280945</v>
      </c>
      <c r="L13" s="19" t="s">
        <v>53</v>
      </c>
      <c r="M13" s="19"/>
      <c r="N13" s="19"/>
    </row>
    <row r="14" spans="1:14" x14ac:dyDescent="0.35">
      <c r="A14" s="11">
        <v>45508</v>
      </c>
      <c r="B14" s="7">
        <v>49152.5</v>
      </c>
      <c r="C14" s="13">
        <v>0.69808975997727596</v>
      </c>
      <c r="E14" s="11">
        <v>45359</v>
      </c>
      <c r="F14" s="20">
        <v>8</v>
      </c>
      <c r="G14" s="7">
        <v>42845</v>
      </c>
      <c r="H14" s="7"/>
      <c r="I14" s="7">
        <v>280945</v>
      </c>
      <c r="L14" s="5" t="s">
        <v>53</v>
      </c>
      <c r="M14" t="s">
        <v>7</v>
      </c>
      <c r="N14" t="s">
        <v>52</v>
      </c>
    </row>
    <row r="15" spans="1:14" x14ac:dyDescent="0.35">
      <c r="A15" s="11">
        <v>45551</v>
      </c>
      <c r="B15" s="7">
        <v>7988</v>
      </c>
      <c r="C15" s="13">
        <v>0.53632335168524237</v>
      </c>
      <c r="E15" s="12" t="s">
        <v>12</v>
      </c>
      <c r="F15" s="20">
        <v>8</v>
      </c>
      <c r="G15" s="7">
        <v>42845</v>
      </c>
      <c r="H15" s="7"/>
      <c r="L15" s="6" t="s">
        <v>11</v>
      </c>
      <c r="M15" s="7">
        <v>280945</v>
      </c>
      <c r="N15" s="7">
        <v>133293.29999999999</v>
      </c>
    </row>
    <row r="16" spans="1:14" x14ac:dyDescent="0.35">
      <c r="A16" s="11">
        <v>45566</v>
      </c>
      <c r="B16" s="7">
        <v>9788</v>
      </c>
      <c r="C16" s="13">
        <v>0.27936979107204019</v>
      </c>
      <c r="E16" s="11">
        <v>45386</v>
      </c>
      <c r="F16" s="20">
        <v>34</v>
      </c>
      <c r="G16" s="7">
        <v>38608</v>
      </c>
      <c r="H16" s="7"/>
      <c r="I16" s="16" t="s">
        <v>65</v>
      </c>
      <c r="J16" s="16"/>
      <c r="L16" s="12" t="s">
        <v>12</v>
      </c>
      <c r="M16" s="7">
        <v>113255</v>
      </c>
      <c r="N16" s="7">
        <v>57998.5</v>
      </c>
    </row>
    <row r="17" spans="1:14" x14ac:dyDescent="0.35">
      <c r="A17" s="11" t="s">
        <v>47</v>
      </c>
      <c r="B17" s="7">
        <v>133293.29999999999</v>
      </c>
      <c r="C17" s="13">
        <v>0.48329396261561525</v>
      </c>
      <c r="E17" s="12" t="s">
        <v>21</v>
      </c>
      <c r="F17" s="20">
        <v>34</v>
      </c>
      <c r="G17" s="7">
        <v>38608</v>
      </c>
      <c r="H17" s="7"/>
      <c r="I17" t="s">
        <v>8</v>
      </c>
      <c r="J17" s="7">
        <f>GETPIVOTDATA("Profit",$I$17)</f>
        <v>133293.29999999999</v>
      </c>
      <c r="L17" s="12" t="s">
        <v>21</v>
      </c>
      <c r="M17" s="7">
        <v>167690</v>
      </c>
      <c r="N17" s="7">
        <v>75294.799999999988</v>
      </c>
    </row>
    <row r="18" spans="1:14" x14ac:dyDescent="0.35">
      <c r="A18" s="19" t="s">
        <v>56</v>
      </c>
      <c r="B18" s="19"/>
      <c r="C18" s="19"/>
      <c r="E18" s="11">
        <v>45390</v>
      </c>
      <c r="F18" s="20">
        <v>52</v>
      </c>
      <c r="G18" s="7">
        <v>36906</v>
      </c>
      <c r="H18" s="7"/>
      <c r="I18" s="7">
        <v>133293.29999999999</v>
      </c>
      <c r="L18" s="6" t="s">
        <v>47</v>
      </c>
      <c r="M18" s="7">
        <v>280945</v>
      </c>
      <c r="N18" s="7">
        <v>133293.29999999999</v>
      </c>
    </row>
    <row r="19" spans="1:14" ht="14.5" customHeight="1" x14ac:dyDescent="0.35">
      <c r="A19" s="5" t="s">
        <v>54</v>
      </c>
      <c r="B19" t="s">
        <v>49</v>
      </c>
      <c r="E19" s="12" t="s">
        <v>21</v>
      </c>
      <c r="F19" s="20">
        <v>52</v>
      </c>
      <c r="G19" s="7">
        <v>36906</v>
      </c>
    </row>
    <row r="20" spans="1:14" ht="14.5" customHeight="1" x14ac:dyDescent="0.35">
      <c r="A20" s="11">
        <v>45325</v>
      </c>
      <c r="B20" s="20">
        <v>30</v>
      </c>
      <c r="E20" s="11">
        <v>45508</v>
      </c>
      <c r="F20" s="20">
        <v>14</v>
      </c>
      <c r="G20" s="7">
        <v>70410</v>
      </c>
      <c r="H20" s="16"/>
      <c r="I20" s="16" t="s">
        <v>66</v>
      </c>
      <c r="J20" s="16"/>
    </row>
    <row r="21" spans="1:14" ht="14.5" customHeight="1" x14ac:dyDescent="0.35">
      <c r="A21" s="15">
        <v>45355</v>
      </c>
      <c r="B21" s="20">
        <v>30</v>
      </c>
      <c r="E21" s="12" t="s">
        <v>12</v>
      </c>
      <c r="F21" s="20">
        <v>14</v>
      </c>
      <c r="G21" s="7">
        <v>70410</v>
      </c>
      <c r="I21" t="s">
        <v>66</v>
      </c>
      <c r="J21">
        <f>GETPIVOTDATA("Order ID",$I$21)</f>
        <v>8</v>
      </c>
    </row>
    <row r="22" spans="1:14" ht="14.5" customHeight="1" x14ac:dyDescent="0.35">
      <c r="A22" s="17" t="s">
        <v>24</v>
      </c>
      <c r="B22" s="20">
        <v>30</v>
      </c>
      <c r="E22" s="11">
        <v>45551</v>
      </c>
      <c r="F22" s="20">
        <v>58</v>
      </c>
      <c r="G22" s="7">
        <v>14894</v>
      </c>
      <c r="H22" s="7"/>
      <c r="I22" s="20">
        <v>8</v>
      </c>
    </row>
    <row r="23" spans="1:14" ht="14.5" customHeight="1" x14ac:dyDescent="0.35">
      <c r="A23" s="11">
        <v>45359</v>
      </c>
      <c r="B23" s="20">
        <v>8</v>
      </c>
      <c r="E23" s="12" t="s">
        <v>21</v>
      </c>
      <c r="F23" s="20">
        <v>58</v>
      </c>
      <c r="G23" s="7">
        <v>14894</v>
      </c>
      <c r="H23" s="7"/>
    </row>
    <row r="24" spans="1:14" ht="14.5" customHeight="1" x14ac:dyDescent="0.35">
      <c r="A24" s="15">
        <v>45367</v>
      </c>
      <c r="B24" s="20">
        <v>8</v>
      </c>
      <c r="E24" s="11">
        <v>45566</v>
      </c>
      <c r="F24" s="20">
        <v>24</v>
      </c>
      <c r="G24" s="7">
        <v>35036</v>
      </c>
      <c r="H24" s="7"/>
      <c r="I24" s="16" t="s">
        <v>67</v>
      </c>
      <c r="J24" s="16"/>
    </row>
    <row r="25" spans="1:14" x14ac:dyDescent="0.35">
      <c r="A25" s="17" t="s">
        <v>9</v>
      </c>
      <c r="B25" s="20">
        <v>8</v>
      </c>
      <c r="E25" s="12" t="s">
        <v>21</v>
      </c>
      <c r="F25" s="20">
        <v>24</v>
      </c>
      <c r="G25" s="7">
        <v>35036</v>
      </c>
      <c r="H25" s="7"/>
      <c r="I25" t="s">
        <v>50</v>
      </c>
      <c r="J25" s="10">
        <f>GETPIVOTDATA("Profpt margin",$I$25)</f>
        <v>0.4832939626156153</v>
      </c>
    </row>
    <row r="26" spans="1:14" x14ac:dyDescent="0.35">
      <c r="A26" s="11">
        <v>45386</v>
      </c>
      <c r="B26" s="20">
        <v>34</v>
      </c>
      <c r="E26" s="11" t="s">
        <v>47</v>
      </c>
      <c r="F26" s="20">
        <v>29.25</v>
      </c>
      <c r="G26" s="7">
        <v>280945</v>
      </c>
      <c r="H26" s="7"/>
      <c r="I26" s="13">
        <v>0.4832939626156153</v>
      </c>
    </row>
    <row r="27" spans="1:14" x14ac:dyDescent="0.35">
      <c r="A27" s="15">
        <v>45420</v>
      </c>
      <c r="B27" s="20">
        <v>34</v>
      </c>
      <c r="H27" s="7"/>
    </row>
    <row r="28" spans="1:14" x14ac:dyDescent="0.35">
      <c r="A28" s="17" t="s">
        <v>27</v>
      </c>
      <c r="B28" s="20">
        <v>34</v>
      </c>
      <c r="H28" s="7"/>
    </row>
    <row r="29" spans="1:14" x14ac:dyDescent="0.35">
      <c r="A29" s="11">
        <v>45390</v>
      </c>
      <c r="B29" s="20">
        <v>52</v>
      </c>
      <c r="H29" s="7"/>
    </row>
    <row r="30" spans="1:14" x14ac:dyDescent="0.35">
      <c r="A30" s="15">
        <v>45442</v>
      </c>
      <c r="B30" s="20">
        <v>52</v>
      </c>
    </row>
    <row r="31" spans="1:14" x14ac:dyDescent="0.35">
      <c r="A31" s="17" t="s">
        <v>25</v>
      </c>
      <c r="B31" s="20">
        <v>52</v>
      </c>
    </row>
    <row r="32" spans="1:14" x14ac:dyDescent="0.35">
      <c r="A32" s="11">
        <v>45508</v>
      </c>
      <c r="B32" s="20">
        <v>14</v>
      </c>
    </row>
    <row r="33" spans="1:2" x14ac:dyDescent="0.35">
      <c r="A33" s="15">
        <v>45522</v>
      </c>
      <c r="B33" s="20">
        <v>14</v>
      </c>
    </row>
    <row r="34" spans="1:2" x14ac:dyDescent="0.35">
      <c r="A34" s="17" t="s">
        <v>23</v>
      </c>
      <c r="B34" s="20">
        <v>14</v>
      </c>
    </row>
    <row r="35" spans="1:2" x14ac:dyDescent="0.35">
      <c r="A35" s="11">
        <v>45551</v>
      </c>
      <c r="B35" s="20">
        <v>58</v>
      </c>
    </row>
    <row r="36" spans="1:2" x14ac:dyDescent="0.35">
      <c r="A36" s="15">
        <v>45609</v>
      </c>
      <c r="B36" s="20">
        <v>58</v>
      </c>
    </row>
    <row r="37" spans="1:2" x14ac:dyDescent="0.35">
      <c r="A37" s="17" t="s">
        <v>26</v>
      </c>
      <c r="B37" s="20">
        <v>58</v>
      </c>
    </row>
    <row r="38" spans="1:2" x14ac:dyDescent="0.35">
      <c r="A38" s="11">
        <v>45566</v>
      </c>
      <c r="B38" s="20">
        <v>24</v>
      </c>
    </row>
    <row r="39" spans="1:2" x14ac:dyDescent="0.35">
      <c r="A39" s="15">
        <v>45590</v>
      </c>
      <c r="B39" s="20">
        <v>24</v>
      </c>
    </row>
    <row r="40" spans="1:2" x14ac:dyDescent="0.35">
      <c r="A40" s="17" t="s">
        <v>22</v>
      </c>
      <c r="B40" s="20">
        <v>24</v>
      </c>
    </row>
    <row r="41" spans="1:2" x14ac:dyDescent="0.35">
      <c r="A41" s="11" t="s">
        <v>47</v>
      </c>
      <c r="B41" s="20">
        <v>29.25</v>
      </c>
    </row>
  </sheetData>
  <mergeCells count="6">
    <mergeCell ref="A18:C18"/>
    <mergeCell ref="L13:N13"/>
    <mergeCell ref="E10:G10"/>
    <mergeCell ref="I3:J3"/>
    <mergeCell ref="A3:C3"/>
    <mergeCell ref="E3:F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35AD6A-3747-4159-8ADE-E95871737CAC}">
  <dimension ref="A1:K36"/>
  <sheetViews>
    <sheetView workbookViewId="0">
      <selection activeCell="F38" sqref="F38"/>
    </sheetView>
  </sheetViews>
  <sheetFormatPr defaultRowHeight="14.5" x14ac:dyDescent="0.35"/>
  <cols>
    <col min="1" max="1" width="12.54296875" bestFit="1" customWidth="1"/>
    <col min="2" max="2" width="14.7265625" bestFit="1" customWidth="1"/>
    <col min="3" max="3" width="15.26953125" bestFit="1" customWidth="1"/>
    <col min="4" max="4" width="15.453125" bestFit="1" customWidth="1"/>
    <col min="5" max="5" width="15.6328125" bestFit="1" customWidth="1"/>
    <col min="6" max="6" width="11" bestFit="1" customWidth="1"/>
    <col min="7" max="7" width="17.26953125" bestFit="1" customWidth="1"/>
    <col min="8" max="8" width="12.54296875" style="7" bestFit="1" customWidth="1"/>
    <col min="9" max="9" width="10.26953125" style="7" bestFit="1" customWidth="1"/>
    <col min="10" max="10" width="17" style="10" bestFit="1" customWidth="1"/>
    <col min="11" max="11" width="11.81640625" bestFit="1" customWidth="1"/>
  </cols>
  <sheetData>
    <row r="1" spans="1:11" x14ac:dyDescent="0.35">
      <c r="A1" s="1" t="s">
        <v>0</v>
      </c>
      <c r="B1" s="1" t="s">
        <v>1</v>
      </c>
      <c r="C1" s="1" t="s">
        <v>2</v>
      </c>
      <c r="D1" s="1" t="s">
        <v>3</v>
      </c>
      <c r="E1" s="1" t="s">
        <v>4</v>
      </c>
      <c r="F1" s="1" t="s">
        <v>5</v>
      </c>
      <c r="G1" s="1" t="s">
        <v>6</v>
      </c>
      <c r="H1" s="8" t="s">
        <v>7</v>
      </c>
      <c r="I1" s="8" t="s">
        <v>8</v>
      </c>
      <c r="J1" s="14" t="s">
        <v>48</v>
      </c>
      <c r="K1" s="1" t="s">
        <v>49</v>
      </c>
    </row>
    <row r="2" spans="1:11" x14ac:dyDescent="0.35">
      <c r="A2" s="2">
        <v>38601</v>
      </c>
      <c r="B2" s="3">
        <v>45214</v>
      </c>
      <c r="C2" s="3">
        <v>45228</v>
      </c>
      <c r="D2" s="4" t="s">
        <v>38</v>
      </c>
      <c r="E2" s="4" t="s">
        <v>30</v>
      </c>
      <c r="F2" s="4" t="s">
        <v>31</v>
      </c>
      <c r="G2" s="4" t="s">
        <v>12</v>
      </c>
      <c r="H2" s="9">
        <v>41034</v>
      </c>
      <c r="I2" s="9">
        <v>29898</v>
      </c>
      <c r="J2" s="10">
        <f>Table1[[#This Row],[Profit]]/Table1[[#This Row],[Revenue]]</f>
        <v>0.72861529463371832</v>
      </c>
      <c r="K2">
        <f>Table1[[#This Row],[Arrival Date]]-Table1[[#This Row],[Order Date]]</f>
        <v>14</v>
      </c>
    </row>
    <row r="3" spans="1:11" x14ac:dyDescent="0.35">
      <c r="A3" s="2">
        <v>27303</v>
      </c>
      <c r="B3" s="3">
        <v>45290</v>
      </c>
      <c r="C3" s="3">
        <v>45369</v>
      </c>
      <c r="D3" s="4" t="s">
        <v>20</v>
      </c>
      <c r="E3" s="4" t="s">
        <v>18</v>
      </c>
      <c r="F3" s="4" t="s">
        <v>19</v>
      </c>
      <c r="G3" s="4" t="s">
        <v>21</v>
      </c>
      <c r="H3" s="9">
        <v>46467</v>
      </c>
      <c r="I3" s="9">
        <v>23668</v>
      </c>
      <c r="J3" s="10">
        <f>Table1[[#This Row],[Profit]]/Table1[[#This Row],[Revenue]]</f>
        <v>0.50935072201777609</v>
      </c>
      <c r="K3">
        <f>Table1[[#This Row],[Arrival Date]]-Table1[[#This Row],[Order Date]]</f>
        <v>79</v>
      </c>
    </row>
    <row r="4" spans="1:11" x14ac:dyDescent="0.35">
      <c r="A4" s="2">
        <v>16569</v>
      </c>
      <c r="B4" s="3">
        <v>45294</v>
      </c>
      <c r="C4" s="3">
        <v>45321</v>
      </c>
      <c r="D4" s="4" t="s">
        <v>34</v>
      </c>
      <c r="E4" s="4" t="s">
        <v>30</v>
      </c>
      <c r="F4" s="4" t="s">
        <v>31</v>
      </c>
      <c r="G4" s="4" t="s">
        <v>21</v>
      </c>
      <c r="H4" s="9">
        <v>26215</v>
      </c>
      <c r="I4" s="9">
        <v>13255</v>
      </c>
      <c r="J4" s="10">
        <f>Table1[[#This Row],[Profit]]/Table1[[#This Row],[Revenue]]</f>
        <v>0.50562654968529464</v>
      </c>
      <c r="K4">
        <f>Table1[[#This Row],[Arrival Date]]-Table1[[#This Row],[Order Date]]</f>
        <v>27</v>
      </c>
    </row>
    <row r="5" spans="1:11" x14ac:dyDescent="0.35">
      <c r="A5" s="2">
        <v>27870</v>
      </c>
      <c r="B5" s="3">
        <v>45298</v>
      </c>
      <c r="C5" s="3">
        <v>45382</v>
      </c>
      <c r="D5" s="4" t="s">
        <v>13</v>
      </c>
      <c r="E5" s="4" t="s">
        <v>14</v>
      </c>
      <c r="F5" s="4" t="s">
        <v>15</v>
      </c>
      <c r="G5" s="4" t="s">
        <v>12</v>
      </c>
      <c r="H5" s="9">
        <v>34152</v>
      </c>
      <c r="I5" s="9">
        <v>13489</v>
      </c>
      <c r="J5" s="10">
        <f>Table1[[#This Row],[Profit]]/Table1[[#This Row],[Revenue]]</f>
        <v>0.39496954790349026</v>
      </c>
      <c r="K5">
        <f>Table1[[#This Row],[Arrival Date]]-Table1[[#This Row],[Order Date]]</f>
        <v>84</v>
      </c>
    </row>
    <row r="6" spans="1:11" x14ac:dyDescent="0.35">
      <c r="A6" s="2">
        <v>27870</v>
      </c>
      <c r="B6" s="3">
        <v>45298</v>
      </c>
      <c r="C6" s="3">
        <v>45382</v>
      </c>
      <c r="D6" s="4" t="s">
        <v>13</v>
      </c>
      <c r="E6" s="4" t="s">
        <v>14</v>
      </c>
      <c r="F6" s="4" t="s">
        <v>15</v>
      </c>
      <c r="G6" s="4" t="s">
        <v>12</v>
      </c>
      <c r="H6" s="9">
        <v>34152</v>
      </c>
      <c r="I6" s="9">
        <v>17854</v>
      </c>
      <c r="J6" s="10">
        <f>Table1[[#This Row],[Profit]]/Table1[[#This Row],[Revenue]]</f>
        <v>0.52278051065823383</v>
      </c>
      <c r="K6">
        <f>Table1[[#This Row],[Arrival Date]]-Table1[[#This Row],[Order Date]]</f>
        <v>84</v>
      </c>
    </row>
    <row r="7" spans="1:11" x14ac:dyDescent="0.35">
      <c r="A7" s="2">
        <v>46669</v>
      </c>
      <c r="B7" s="3">
        <v>45312</v>
      </c>
      <c r="C7" s="3">
        <v>45387</v>
      </c>
      <c r="D7" s="4" t="s">
        <v>28</v>
      </c>
      <c r="E7" s="4" t="s">
        <v>18</v>
      </c>
      <c r="F7" s="4" t="s">
        <v>19</v>
      </c>
      <c r="G7" s="4" t="s">
        <v>21</v>
      </c>
      <c r="H7" s="9">
        <v>46329.599999999999</v>
      </c>
      <c r="I7" s="9">
        <v>9265.92</v>
      </c>
      <c r="J7" s="10">
        <f>Table1[[#This Row],[Profit]]/Table1[[#This Row],[Revenue]]</f>
        <v>0.2</v>
      </c>
      <c r="K7">
        <f>Table1[[#This Row],[Arrival Date]]-Table1[[#This Row],[Order Date]]</f>
        <v>75</v>
      </c>
    </row>
    <row r="8" spans="1:11" x14ac:dyDescent="0.35">
      <c r="A8" s="2">
        <v>46669</v>
      </c>
      <c r="B8" s="3">
        <v>45312</v>
      </c>
      <c r="C8" s="3">
        <v>45387</v>
      </c>
      <c r="D8" s="4" t="s">
        <v>28</v>
      </c>
      <c r="E8" s="4" t="s">
        <v>18</v>
      </c>
      <c r="F8" s="4" t="s">
        <v>19</v>
      </c>
      <c r="G8" s="4" t="s">
        <v>21</v>
      </c>
      <c r="H8" s="9">
        <v>31309</v>
      </c>
      <c r="I8" s="9">
        <v>20221</v>
      </c>
      <c r="J8" s="10">
        <f>Table1[[#This Row],[Profit]]/Table1[[#This Row],[Revenue]]</f>
        <v>0.64585263023411799</v>
      </c>
      <c r="K8">
        <f>Table1[[#This Row],[Arrival Date]]-Table1[[#This Row],[Order Date]]</f>
        <v>75</v>
      </c>
    </row>
    <row r="9" spans="1:11" x14ac:dyDescent="0.35">
      <c r="A9" s="2">
        <v>31377</v>
      </c>
      <c r="B9" s="3">
        <v>45320</v>
      </c>
      <c r="C9" s="3">
        <v>45354</v>
      </c>
      <c r="D9" s="4" t="s">
        <v>41</v>
      </c>
      <c r="E9" s="4" t="s">
        <v>14</v>
      </c>
      <c r="F9" s="4" t="s">
        <v>15</v>
      </c>
      <c r="G9" s="4" t="s">
        <v>12</v>
      </c>
      <c r="H9" s="9">
        <v>26577</v>
      </c>
      <c r="I9" s="9">
        <v>13980</v>
      </c>
      <c r="J9" s="10">
        <f>Table1[[#This Row],[Profit]]/Table1[[#This Row],[Revenue]]</f>
        <v>0.52601873800654697</v>
      </c>
      <c r="K9">
        <f>Table1[[#This Row],[Arrival Date]]-Table1[[#This Row],[Order Date]]</f>
        <v>34</v>
      </c>
    </row>
    <row r="10" spans="1:11" x14ac:dyDescent="0.35">
      <c r="A10" s="2">
        <v>32107</v>
      </c>
      <c r="B10" s="3">
        <v>45325</v>
      </c>
      <c r="C10" s="3">
        <v>45355</v>
      </c>
      <c r="D10" s="4" t="s">
        <v>24</v>
      </c>
      <c r="E10" s="4" t="s">
        <v>10</v>
      </c>
      <c r="F10" s="4" t="s">
        <v>11</v>
      </c>
      <c r="G10" s="4" t="s">
        <v>21</v>
      </c>
      <c r="H10" s="9">
        <v>42246</v>
      </c>
      <c r="I10" s="9">
        <v>29572.199999999997</v>
      </c>
      <c r="J10" s="10">
        <f>Table1[[#This Row],[Profit]]/Table1[[#This Row],[Revenue]]</f>
        <v>0.7</v>
      </c>
      <c r="K10">
        <f>Table1[[#This Row],[Arrival Date]]-Table1[[#This Row],[Order Date]]</f>
        <v>30</v>
      </c>
    </row>
    <row r="11" spans="1:11" x14ac:dyDescent="0.35">
      <c r="A11" s="2">
        <v>30084</v>
      </c>
      <c r="B11" s="3">
        <v>45335</v>
      </c>
      <c r="C11" s="3">
        <v>45384</v>
      </c>
      <c r="D11" s="4" t="s">
        <v>39</v>
      </c>
      <c r="E11" s="4" t="s">
        <v>30</v>
      </c>
      <c r="F11" s="4" t="s">
        <v>31</v>
      </c>
      <c r="G11" s="4" t="s">
        <v>21</v>
      </c>
      <c r="H11" s="9">
        <v>27775</v>
      </c>
      <c r="I11" s="9">
        <v>14697</v>
      </c>
      <c r="J11" s="10">
        <f>Table1[[#This Row],[Profit]]/Table1[[#This Row],[Revenue]]</f>
        <v>0.52914491449144918</v>
      </c>
      <c r="K11">
        <f>Table1[[#This Row],[Arrival Date]]-Table1[[#This Row],[Order Date]]</f>
        <v>49</v>
      </c>
    </row>
    <row r="12" spans="1:11" x14ac:dyDescent="0.35">
      <c r="A12" s="2">
        <v>25691</v>
      </c>
      <c r="B12" s="3">
        <v>45359</v>
      </c>
      <c r="C12" s="3">
        <v>45367</v>
      </c>
      <c r="D12" s="4" t="s">
        <v>9</v>
      </c>
      <c r="E12" s="4" t="s">
        <v>10</v>
      </c>
      <c r="F12" s="4" t="s">
        <v>11</v>
      </c>
      <c r="G12" s="4" t="s">
        <v>12</v>
      </c>
      <c r="H12" s="9">
        <v>42845</v>
      </c>
      <c r="I12" s="9">
        <v>8846</v>
      </c>
      <c r="J12" s="10">
        <f>Table1[[#This Row],[Profit]]/Table1[[#This Row],[Revenue]]</f>
        <v>0.2064651651301202</v>
      </c>
      <c r="K12">
        <f>Table1[[#This Row],[Arrival Date]]-Table1[[#This Row],[Order Date]]</f>
        <v>8</v>
      </c>
    </row>
    <row r="13" spans="1:11" x14ac:dyDescent="0.35">
      <c r="A13" s="2">
        <v>35767</v>
      </c>
      <c r="B13" s="3">
        <v>45359</v>
      </c>
      <c r="C13" s="3">
        <v>45443</v>
      </c>
      <c r="D13" s="4" t="s">
        <v>37</v>
      </c>
      <c r="E13" s="4" t="s">
        <v>30</v>
      </c>
      <c r="F13" s="4" t="s">
        <v>31</v>
      </c>
      <c r="G13" s="4" t="s">
        <v>12</v>
      </c>
      <c r="H13" s="9">
        <v>15097</v>
      </c>
      <c r="I13" s="9">
        <v>7899</v>
      </c>
      <c r="J13" s="10">
        <f>Table1[[#This Row],[Profit]]/Table1[[#This Row],[Revenue]]</f>
        <v>0.52321653308604354</v>
      </c>
      <c r="K13">
        <f>Table1[[#This Row],[Arrival Date]]-Table1[[#This Row],[Order Date]]</f>
        <v>84</v>
      </c>
    </row>
    <row r="14" spans="1:11" x14ac:dyDescent="0.35">
      <c r="A14" s="2">
        <v>18517</v>
      </c>
      <c r="B14" s="3">
        <v>45366</v>
      </c>
      <c r="C14" s="3">
        <v>45413</v>
      </c>
      <c r="D14" s="4" t="s">
        <v>32</v>
      </c>
      <c r="E14" s="4" t="s">
        <v>30</v>
      </c>
      <c r="F14" s="4" t="s">
        <v>31</v>
      </c>
      <c r="G14" s="4" t="s">
        <v>12</v>
      </c>
      <c r="H14" s="9">
        <v>18249</v>
      </c>
      <c r="I14" s="9">
        <v>11589</v>
      </c>
      <c r="J14" s="10">
        <f>Table1[[#This Row],[Profit]]/Table1[[#This Row],[Revenue]]</f>
        <v>0.6350484958079895</v>
      </c>
      <c r="K14">
        <f>Table1[[#This Row],[Arrival Date]]-Table1[[#This Row],[Order Date]]</f>
        <v>47</v>
      </c>
    </row>
    <row r="15" spans="1:11" x14ac:dyDescent="0.35">
      <c r="A15" s="2">
        <v>47557</v>
      </c>
      <c r="B15" s="3">
        <v>45386</v>
      </c>
      <c r="C15" s="3">
        <v>45420</v>
      </c>
      <c r="D15" s="4" t="s">
        <v>27</v>
      </c>
      <c r="E15" s="4" t="s">
        <v>10</v>
      </c>
      <c r="F15" s="4" t="s">
        <v>11</v>
      </c>
      <c r="G15" s="4" t="s">
        <v>21</v>
      </c>
      <c r="H15" s="9">
        <v>38608</v>
      </c>
      <c r="I15" s="9">
        <v>7721.6</v>
      </c>
      <c r="J15" s="10">
        <f>Table1[[#This Row],[Profit]]/Table1[[#This Row],[Revenue]]</f>
        <v>0.2</v>
      </c>
      <c r="K15">
        <f>Table1[[#This Row],[Arrival Date]]-Table1[[#This Row],[Order Date]]</f>
        <v>34</v>
      </c>
    </row>
    <row r="16" spans="1:11" x14ac:dyDescent="0.35">
      <c r="A16" s="2">
        <v>14750</v>
      </c>
      <c r="B16" s="3">
        <v>45390</v>
      </c>
      <c r="C16" s="3">
        <v>45442</v>
      </c>
      <c r="D16" s="4" t="s">
        <v>25</v>
      </c>
      <c r="E16" s="4" t="s">
        <v>10</v>
      </c>
      <c r="F16" s="4" t="s">
        <v>11</v>
      </c>
      <c r="G16" s="4" t="s">
        <v>21</v>
      </c>
      <c r="H16" s="9">
        <v>36906</v>
      </c>
      <c r="I16" s="9">
        <v>20225</v>
      </c>
      <c r="J16" s="10">
        <f>Table1[[#This Row],[Profit]]/Table1[[#This Row],[Revenue]]</f>
        <v>0.54801387308296756</v>
      </c>
      <c r="K16">
        <f>Table1[[#This Row],[Arrival Date]]-Table1[[#This Row],[Order Date]]</f>
        <v>52</v>
      </c>
    </row>
    <row r="17" spans="1:11" x14ac:dyDescent="0.35">
      <c r="A17" s="2">
        <v>39414</v>
      </c>
      <c r="B17" s="3">
        <v>45416</v>
      </c>
      <c r="C17" s="3">
        <v>45493</v>
      </c>
      <c r="D17" s="4" t="s">
        <v>43</v>
      </c>
      <c r="E17" s="4" t="s">
        <v>14</v>
      </c>
      <c r="F17" s="4" t="s">
        <v>15</v>
      </c>
      <c r="G17" s="4" t="s">
        <v>12</v>
      </c>
      <c r="H17" s="9">
        <v>27561</v>
      </c>
      <c r="I17" s="9">
        <v>13233</v>
      </c>
      <c r="J17" s="10">
        <f>Table1[[#This Row],[Profit]]/Table1[[#This Row],[Revenue]]</f>
        <v>0.48013497333188199</v>
      </c>
      <c r="K17">
        <f>Table1[[#This Row],[Arrival Date]]-Table1[[#This Row],[Order Date]]</f>
        <v>77</v>
      </c>
    </row>
    <row r="18" spans="1:11" x14ac:dyDescent="0.35">
      <c r="A18" s="2">
        <v>39414</v>
      </c>
      <c r="B18" s="3">
        <v>45416</v>
      </c>
      <c r="C18" s="3">
        <v>45493</v>
      </c>
      <c r="D18" s="4" t="s">
        <v>43</v>
      </c>
      <c r="E18" s="4" t="s">
        <v>14</v>
      </c>
      <c r="F18" s="4" t="s">
        <v>15</v>
      </c>
      <c r="G18" s="4" t="s">
        <v>12</v>
      </c>
      <c r="H18" s="9">
        <v>27561</v>
      </c>
      <c r="I18" s="9">
        <v>14500</v>
      </c>
      <c r="J18" s="10">
        <f>Table1[[#This Row],[Profit]]/Table1[[#This Row],[Revenue]]</f>
        <v>0.52610572910997422</v>
      </c>
      <c r="K18">
        <f>Table1[[#This Row],[Arrival Date]]-Table1[[#This Row],[Order Date]]</f>
        <v>77</v>
      </c>
    </row>
    <row r="19" spans="1:11" x14ac:dyDescent="0.35">
      <c r="A19" s="2">
        <v>28321</v>
      </c>
      <c r="B19" s="3">
        <v>45469</v>
      </c>
      <c r="C19" s="3">
        <v>45477</v>
      </c>
      <c r="D19" s="4" t="s">
        <v>29</v>
      </c>
      <c r="E19" s="4" t="s">
        <v>30</v>
      </c>
      <c r="F19" s="4" t="s">
        <v>31</v>
      </c>
      <c r="G19" s="4" t="s">
        <v>21</v>
      </c>
      <c r="H19" s="9">
        <v>48364</v>
      </c>
      <c r="I19" s="9">
        <v>24659</v>
      </c>
      <c r="J19" s="10">
        <f>Table1[[#This Row],[Profit]]/Table1[[#This Row],[Revenue]]</f>
        <v>0.50986270779918952</v>
      </c>
      <c r="K19">
        <f>Table1[[#This Row],[Arrival Date]]-Table1[[#This Row],[Order Date]]</f>
        <v>8</v>
      </c>
    </row>
    <row r="20" spans="1:11" x14ac:dyDescent="0.35">
      <c r="A20" s="2">
        <v>42841</v>
      </c>
      <c r="B20" s="3">
        <v>45473</v>
      </c>
      <c r="C20" s="3">
        <v>45476</v>
      </c>
      <c r="D20" s="4" t="s">
        <v>20</v>
      </c>
      <c r="E20" s="4" t="s">
        <v>18</v>
      </c>
      <c r="F20" s="4" t="s">
        <v>19</v>
      </c>
      <c r="G20" s="4" t="s">
        <v>12</v>
      </c>
      <c r="H20" s="9">
        <v>20962</v>
      </c>
      <c r="I20" s="9">
        <v>12558</v>
      </c>
      <c r="J20" s="10">
        <f>Table1[[#This Row],[Profit]]/Table1[[#This Row],[Revenue]]</f>
        <v>0.59908405686480293</v>
      </c>
      <c r="K20">
        <f>Table1[[#This Row],[Arrival Date]]-Table1[[#This Row],[Order Date]]</f>
        <v>3</v>
      </c>
    </row>
    <row r="21" spans="1:11" x14ac:dyDescent="0.35">
      <c r="A21" s="2">
        <v>33650</v>
      </c>
      <c r="B21" s="3">
        <v>45476</v>
      </c>
      <c r="C21" s="3">
        <v>45537</v>
      </c>
      <c r="D21" s="4" t="s">
        <v>28</v>
      </c>
      <c r="E21" s="4" t="s">
        <v>18</v>
      </c>
      <c r="F21" s="4" t="s">
        <v>19</v>
      </c>
      <c r="G21" s="4" t="s">
        <v>21</v>
      </c>
      <c r="H21" s="9">
        <v>40125</v>
      </c>
      <c r="I21" s="9">
        <v>26800</v>
      </c>
      <c r="J21" s="10">
        <f>Table1[[#This Row],[Profit]]/Table1[[#This Row],[Revenue]]</f>
        <v>0.66791277258566983</v>
      </c>
      <c r="K21">
        <f>Table1[[#This Row],[Arrival Date]]-Table1[[#This Row],[Order Date]]</f>
        <v>61</v>
      </c>
    </row>
    <row r="22" spans="1:11" x14ac:dyDescent="0.35">
      <c r="A22" s="2">
        <v>12997</v>
      </c>
      <c r="B22" s="3">
        <v>45481</v>
      </c>
      <c r="C22" s="3">
        <v>45547</v>
      </c>
      <c r="D22" s="4" t="s">
        <v>36</v>
      </c>
      <c r="E22" s="4" t="s">
        <v>18</v>
      </c>
      <c r="F22" s="4" t="s">
        <v>19</v>
      </c>
      <c r="G22" s="4" t="s">
        <v>12</v>
      </c>
      <c r="H22" s="9">
        <v>39366</v>
      </c>
      <c r="I22" s="9">
        <v>26798</v>
      </c>
      <c r="J22" s="10">
        <f>Table1[[#This Row],[Profit]]/Table1[[#This Row],[Revenue]]</f>
        <v>0.68073972463547228</v>
      </c>
      <c r="K22">
        <f>Table1[[#This Row],[Arrival Date]]-Table1[[#This Row],[Order Date]]</f>
        <v>66</v>
      </c>
    </row>
    <row r="23" spans="1:11" x14ac:dyDescent="0.35">
      <c r="A23" s="2">
        <v>46726</v>
      </c>
      <c r="B23" s="3">
        <v>45482</v>
      </c>
      <c r="C23" s="3">
        <v>45512</v>
      </c>
      <c r="D23" s="4" t="s">
        <v>16</v>
      </c>
      <c r="E23" s="4" t="s">
        <v>14</v>
      </c>
      <c r="F23" s="4" t="s">
        <v>15</v>
      </c>
      <c r="G23" s="4" t="s">
        <v>12</v>
      </c>
      <c r="H23" s="9">
        <v>15829</v>
      </c>
      <c r="I23" s="9">
        <v>67998</v>
      </c>
      <c r="J23" s="10">
        <f>Table1[[#This Row],[Profit]]/Table1[[#This Row],[Revenue]]</f>
        <v>4.2957862151746795</v>
      </c>
      <c r="K23">
        <f>Table1[[#This Row],[Arrival Date]]-Table1[[#This Row],[Order Date]]</f>
        <v>30</v>
      </c>
    </row>
    <row r="24" spans="1:11" x14ac:dyDescent="0.35">
      <c r="A24" s="2">
        <v>32159</v>
      </c>
      <c r="B24" s="3">
        <v>45495</v>
      </c>
      <c r="C24" s="3">
        <v>45547</v>
      </c>
      <c r="D24" s="4" t="s">
        <v>35</v>
      </c>
      <c r="E24" s="4" t="s">
        <v>18</v>
      </c>
      <c r="F24" s="4" t="s">
        <v>19</v>
      </c>
      <c r="G24" s="4" t="s">
        <v>21</v>
      </c>
      <c r="H24" s="9">
        <v>43359</v>
      </c>
      <c r="I24" s="9">
        <v>22488</v>
      </c>
      <c r="J24" s="10">
        <f>Table1[[#This Row],[Profit]]/Table1[[#This Row],[Revenue]]</f>
        <v>0.51864664775479141</v>
      </c>
      <c r="K24">
        <f>Table1[[#This Row],[Arrival Date]]-Table1[[#This Row],[Order Date]]</f>
        <v>52</v>
      </c>
    </row>
    <row r="25" spans="1:11" x14ac:dyDescent="0.35">
      <c r="A25" s="2">
        <v>35895</v>
      </c>
      <c r="B25" s="3">
        <v>45504</v>
      </c>
      <c r="C25" s="3">
        <v>45551</v>
      </c>
      <c r="D25" s="4" t="s">
        <v>17</v>
      </c>
      <c r="E25" s="4" t="s">
        <v>18</v>
      </c>
      <c r="F25" s="4" t="s">
        <v>19</v>
      </c>
      <c r="G25" s="4" t="s">
        <v>12</v>
      </c>
      <c r="H25" s="9">
        <v>50373</v>
      </c>
      <c r="I25" s="9">
        <v>21335</v>
      </c>
      <c r="J25" s="10">
        <f>Table1[[#This Row],[Profit]]/Table1[[#This Row],[Revenue]]</f>
        <v>0.42354038870029581</v>
      </c>
      <c r="K25">
        <f>Table1[[#This Row],[Arrival Date]]-Table1[[#This Row],[Order Date]]</f>
        <v>47</v>
      </c>
    </row>
    <row r="26" spans="1:11" x14ac:dyDescent="0.35">
      <c r="A26" s="2">
        <v>27732</v>
      </c>
      <c r="B26" s="3">
        <v>45506</v>
      </c>
      <c r="C26" s="3">
        <v>45562</v>
      </c>
      <c r="D26" s="4" t="s">
        <v>45</v>
      </c>
      <c r="E26" s="4" t="s">
        <v>14</v>
      </c>
      <c r="F26" s="4" t="s">
        <v>15</v>
      </c>
      <c r="G26" s="4" t="s">
        <v>21</v>
      </c>
      <c r="H26" s="9">
        <v>10615</v>
      </c>
      <c r="I26" s="9">
        <v>4588</v>
      </c>
      <c r="J26" s="10">
        <f>Table1[[#This Row],[Profit]]/Table1[[#This Row],[Revenue]]</f>
        <v>0.43221855864342912</v>
      </c>
      <c r="K26">
        <f>Table1[[#This Row],[Arrival Date]]-Table1[[#This Row],[Order Date]]</f>
        <v>56</v>
      </c>
    </row>
    <row r="27" spans="1:11" x14ac:dyDescent="0.35">
      <c r="A27" s="2">
        <v>46060</v>
      </c>
      <c r="B27" s="3">
        <v>45508</v>
      </c>
      <c r="C27" s="3">
        <v>45522</v>
      </c>
      <c r="D27" s="4" t="s">
        <v>23</v>
      </c>
      <c r="E27" s="4" t="s">
        <v>10</v>
      </c>
      <c r="F27" s="4" t="s">
        <v>11</v>
      </c>
      <c r="G27" s="4" t="s">
        <v>12</v>
      </c>
      <c r="H27" s="9">
        <v>35205</v>
      </c>
      <c r="I27" s="9">
        <v>24643.5</v>
      </c>
      <c r="J27" s="10">
        <f>Table1[[#This Row],[Profit]]/Table1[[#This Row],[Revenue]]</f>
        <v>0.7</v>
      </c>
      <c r="K27">
        <f>Table1[[#This Row],[Arrival Date]]-Table1[[#This Row],[Order Date]]</f>
        <v>14</v>
      </c>
    </row>
    <row r="28" spans="1:11" x14ac:dyDescent="0.35">
      <c r="A28" s="2">
        <v>46060</v>
      </c>
      <c r="B28" s="3">
        <v>45508</v>
      </c>
      <c r="C28" s="3">
        <v>45522</v>
      </c>
      <c r="D28" s="4" t="s">
        <v>23</v>
      </c>
      <c r="E28" s="4" t="s">
        <v>10</v>
      </c>
      <c r="F28" s="4" t="s">
        <v>11</v>
      </c>
      <c r="G28" s="4" t="s">
        <v>12</v>
      </c>
      <c r="H28" s="9">
        <v>35205</v>
      </c>
      <c r="I28" s="9">
        <v>24509</v>
      </c>
      <c r="J28" s="10">
        <f>Table1[[#This Row],[Profit]]/Table1[[#This Row],[Revenue]]</f>
        <v>0.69617951995455196</v>
      </c>
      <c r="K28">
        <f>Table1[[#This Row],[Arrival Date]]-Table1[[#This Row],[Order Date]]</f>
        <v>14</v>
      </c>
    </row>
    <row r="29" spans="1:11" x14ac:dyDescent="0.35">
      <c r="A29" s="2">
        <v>27691</v>
      </c>
      <c r="B29" s="3">
        <v>45551</v>
      </c>
      <c r="C29" s="3">
        <v>45609</v>
      </c>
      <c r="D29" s="4" t="s">
        <v>26</v>
      </c>
      <c r="E29" s="4" t="s">
        <v>10</v>
      </c>
      <c r="F29" s="4" t="s">
        <v>11</v>
      </c>
      <c r="G29" s="4" t="s">
        <v>21</v>
      </c>
      <c r="H29" s="9">
        <v>14894</v>
      </c>
      <c r="I29" s="9">
        <v>7988</v>
      </c>
      <c r="J29" s="10">
        <f>Table1[[#This Row],[Profit]]/Table1[[#This Row],[Revenue]]</f>
        <v>0.53632335168524237</v>
      </c>
      <c r="K29">
        <f>Table1[[#This Row],[Arrival Date]]-Table1[[#This Row],[Order Date]]</f>
        <v>58</v>
      </c>
    </row>
    <row r="30" spans="1:11" x14ac:dyDescent="0.35">
      <c r="A30" s="2">
        <v>38741</v>
      </c>
      <c r="B30" s="3">
        <v>45558</v>
      </c>
      <c r="C30" s="3">
        <v>45636</v>
      </c>
      <c r="D30" s="4" t="s">
        <v>29</v>
      </c>
      <c r="E30" s="4" t="s">
        <v>30</v>
      </c>
      <c r="F30" s="4" t="s">
        <v>31</v>
      </c>
      <c r="G30" s="4" t="s">
        <v>21</v>
      </c>
      <c r="H30" s="9">
        <v>21889</v>
      </c>
      <c r="I30" s="9">
        <v>13107.5</v>
      </c>
      <c r="J30" s="10">
        <f>Table1[[#This Row],[Profit]]/Table1[[#This Row],[Revenue]]</f>
        <v>0.59881675727534378</v>
      </c>
      <c r="K30">
        <f>Table1[[#This Row],[Arrival Date]]-Table1[[#This Row],[Order Date]]</f>
        <v>78</v>
      </c>
    </row>
    <row r="31" spans="1:11" x14ac:dyDescent="0.35">
      <c r="A31" s="2">
        <v>25985</v>
      </c>
      <c r="B31" s="3">
        <v>45566</v>
      </c>
      <c r="C31" s="3">
        <v>45590</v>
      </c>
      <c r="D31" s="4" t="s">
        <v>22</v>
      </c>
      <c r="E31" s="4" t="s">
        <v>10</v>
      </c>
      <c r="F31" s="4" t="s">
        <v>11</v>
      </c>
      <c r="G31" s="4" t="s">
        <v>21</v>
      </c>
      <c r="H31" s="9">
        <v>35036</v>
      </c>
      <c r="I31" s="9">
        <v>9788</v>
      </c>
      <c r="J31" s="10">
        <f>Table1[[#This Row],[Profit]]/Table1[[#This Row],[Revenue]]</f>
        <v>0.27936979107204019</v>
      </c>
      <c r="K31">
        <f>Table1[[#This Row],[Arrival Date]]-Table1[[#This Row],[Order Date]]</f>
        <v>24</v>
      </c>
    </row>
    <row r="32" spans="1:11" x14ac:dyDescent="0.35">
      <c r="A32" s="2">
        <v>21771</v>
      </c>
      <c r="B32" s="3">
        <v>45596</v>
      </c>
      <c r="C32" s="3">
        <v>45648</v>
      </c>
      <c r="D32" s="4" t="s">
        <v>44</v>
      </c>
      <c r="E32" s="4" t="s">
        <v>14</v>
      </c>
      <c r="F32" s="4" t="s">
        <v>15</v>
      </c>
      <c r="G32" s="4" t="s">
        <v>12</v>
      </c>
      <c r="H32" s="9">
        <v>41852</v>
      </c>
      <c r="I32" s="9">
        <v>19880</v>
      </c>
      <c r="J32" s="10">
        <f>Table1[[#This Row],[Profit]]/Table1[[#This Row],[Revenue]]</f>
        <v>0.47500716811621907</v>
      </c>
      <c r="K32">
        <f>Table1[[#This Row],[Arrival Date]]-Table1[[#This Row],[Order Date]]</f>
        <v>52</v>
      </c>
    </row>
    <row r="33" spans="1:11" x14ac:dyDescent="0.35">
      <c r="A33" s="2">
        <v>38800</v>
      </c>
      <c r="B33" s="3">
        <v>45616</v>
      </c>
      <c r="C33" s="3">
        <v>45632</v>
      </c>
      <c r="D33" s="4" t="s">
        <v>46</v>
      </c>
      <c r="E33" s="4" t="s">
        <v>14</v>
      </c>
      <c r="F33" s="4" t="s">
        <v>15</v>
      </c>
      <c r="G33" s="4" t="s">
        <v>21</v>
      </c>
      <c r="H33" s="9">
        <v>50763</v>
      </c>
      <c r="I33" s="9">
        <v>26990</v>
      </c>
      <c r="J33" s="10">
        <f>Table1[[#This Row],[Profit]]/Table1[[#This Row],[Revenue]]</f>
        <v>0.53168646455095248</v>
      </c>
      <c r="K33">
        <f>Table1[[#This Row],[Arrival Date]]-Table1[[#This Row],[Order Date]]</f>
        <v>16</v>
      </c>
    </row>
    <row r="34" spans="1:11" x14ac:dyDescent="0.35">
      <c r="A34" s="2">
        <v>15314</v>
      </c>
      <c r="B34" s="3">
        <v>45627</v>
      </c>
      <c r="C34" s="3">
        <v>45676</v>
      </c>
      <c r="D34" s="4" t="s">
        <v>33</v>
      </c>
      <c r="E34" s="4" t="s">
        <v>30</v>
      </c>
      <c r="F34" s="4" t="s">
        <v>31</v>
      </c>
      <c r="G34" s="4" t="s">
        <v>12</v>
      </c>
      <c r="H34" s="9">
        <v>39047</v>
      </c>
      <c r="I34" s="9">
        <v>20119</v>
      </c>
      <c r="J34" s="10">
        <f>Table1[[#This Row],[Profit]]/Table1[[#This Row],[Revenue]]</f>
        <v>0.51525085153789019</v>
      </c>
      <c r="K34">
        <f>Table1[[#This Row],[Arrival Date]]-Table1[[#This Row],[Order Date]]</f>
        <v>49</v>
      </c>
    </row>
    <row r="35" spans="1:11" x14ac:dyDescent="0.35">
      <c r="A35" s="2">
        <v>24370</v>
      </c>
      <c r="B35" s="3">
        <v>45658</v>
      </c>
      <c r="C35" s="3">
        <v>45680</v>
      </c>
      <c r="D35" s="4" t="s">
        <v>40</v>
      </c>
      <c r="E35" s="4" t="s">
        <v>30</v>
      </c>
      <c r="F35" s="4" t="s">
        <v>31</v>
      </c>
      <c r="G35" s="4" t="s">
        <v>21</v>
      </c>
      <c r="H35" s="9">
        <v>21230</v>
      </c>
      <c r="I35" s="9">
        <v>13500</v>
      </c>
      <c r="J35" s="10">
        <f>Table1[[#This Row],[Profit]]/Table1[[#This Row],[Revenue]]</f>
        <v>0.63589260480452192</v>
      </c>
      <c r="K35">
        <f>Table1[[#This Row],[Arrival Date]]-Table1[[#This Row],[Order Date]]</f>
        <v>22</v>
      </c>
    </row>
    <row r="36" spans="1:11" x14ac:dyDescent="0.35">
      <c r="A36" s="2">
        <v>48068</v>
      </c>
      <c r="B36" s="3">
        <v>45688</v>
      </c>
      <c r="C36" s="3">
        <v>45697</v>
      </c>
      <c r="D36" s="4" t="s">
        <v>42</v>
      </c>
      <c r="E36" s="4" t="s">
        <v>14</v>
      </c>
      <c r="F36" s="4" t="s">
        <v>15</v>
      </c>
      <c r="G36" s="4" t="s">
        <v>21</v>
      </c>
      <c r="H36" s="9">
        <v>17269</v>
      </c>
      <c r="I36" s="9">
        <v>13815.2</v>
      </c>
      <c r="J36" s="10">
        <f>Table1[[#This Row],[Profit]]/Table1[[#This Row],[Revenue]]</f>
        <v>0.8</v>
      </c>
      <c r="K36">
        <f>Table1[[#This Row],[Arrival Date]]-Table1[[#This Row],[Order Date]]</f>
        <v>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E77290-DCEB-49B2-9BAE-DD16B5E9F53F}">
  <dimension ref="AN43"/>
  <sheetViews>
    <sheetView showGridLines="0" tabSelected="1" zoomScale="59" zoomScaleNormal="59" workbookViewId="0">
      <selection activeCell="AM37" sqref="AM37"/>
    </sheetView>
  </sheetViews>
  <sheetFormatPr defaultRowHeight="14.5" x14ac:dyDescent="0.35"/>
  <sheetData>
    <row r="43" spans="40:40" x14ac:dyDescent="0.35">
      <c r="AN43" t="s">
        <v>71</v>
      </c>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SALES PERFORMANCE TABLE</vt:lpstr>
      <vt:lpstr>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Oluwafemi Aina</dc:creator>
  <cp:lastModifiedBy>USER</cp:lastModifiedBy>
  <dcterms:created xsi:type="dcterms:W3CDTF">2026-09-11T11:55:49Z</dcterms:created>
  <dcterms:modified xsi:type="dcterms:W3CDTF">2026-10-02T21:10:44Z</dcterms:modified>
</cp:coreProperties>
</file>